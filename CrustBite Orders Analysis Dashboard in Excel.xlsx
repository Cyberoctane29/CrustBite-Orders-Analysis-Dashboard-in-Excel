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swat\Desktop\Excel\CrustBite Orders Analysis Dashboard in Excel\"/>
    </mc:Choice>
  </mc:AlternateContent>
  <xr:revisionPtr revIDLastSave="0" documentId="13_ncr:1_{D587BE73-80CA-4005-A529-4D5282BA032F}" xr6:coauthVersionLast="47" xr6:coauthVersionMax="47" xr10:uidLastSave="{00000000-0000-0000-0000-000000000000}"/>
  <bookViews>
    <workbookView xWindow="-108" yWindow="-108" windowWidth="23256" windowHeight="13896" tabRatio="593" firstSheet="2" activeTab="2" xr2:uid="{00000000-000D-0000-FFFF-FFFF00000000}"/>
  </bookViews>
  <sheets>
    <sheet name="Customer Service" sheetId="2" state="hidden" r:id="rId1"/>
    <sheet name="Finance" sheetId="3" state="hidden" r:id="rId2"/>
    <sheet name="Orders Data" sheetId="6" r:id="rId3"/>
    <sheet name="Dashboard Business Questions" sheetId="8" r:id="rId4"/>
    <sheet name="Orders Pivot Sheet" sheetId="11" r:id="rId5"/>
    <sheet name="Orders Dashboard" sheetId="12" r:id="rId6"/>
  </sheets>
  <definedNames>
    <definedName name="_xlnm._FilterDatabase" localSheetId="0"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'Orders Data'!$B$6:$M$799</definedName>
    <definedName name="_xlcn.WorksheetConnection_DataModellingClassWorkbook.xlsxTable41" hidden="1">Table4</definedName>
    <definedName name="Slicer_Agent">#N/A</definedName>
    <definedName name="Slicer_Order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5" i="6" l="1"/>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L14" i="6"/>
  <c r="K799" i="6" l="1"/>
  <c r="L799" i="6"/>
  <c r="M799" i="6" s="1"/>
  <c r="K798" i="6"/>
  <c r="K797" i="6"/>
  <c r="L797" i="6"/>
  <c r="M797" i="6" s="1"/>
  <c r="K796" i="6"/>
  <c r="L796" i="6"/>
  <c r="M796" i="6" s="1"/>
  <c r="K795" i="6"/>
  <c r="L795" i="6"/>
  <c r="M795" i="6" s="1"/>
  <c r="K794" i="6"/>
  <c r="L794" i="6"/>
  <c r="M794" i="6" s="1"/>
  <c r="K793" i="6"/>
  <c r="K792" i="6"/>
  <c r="L792" i="6"/>
  <c r="M792" i="6" s="1"/>
  <c r="K791" i="6"/>
  <c r="L791" i="6"/>
  <c r="M791" i="6" s="1"/>
  <c r="K790" i="6"/>
  <c r="L790" i="6"/>
  <c r="M790" i="6" s="1"/>
  <c r="K789" i="6"/>
  <c r="L789" i="6"/>
  <c r="M789" i="6" s="1"/>
  <c r="K788" i="6"/>
  <c r="K787" i="6"/>
  <c r="L787" i="6"/>
  <c r="M787" i="6" s="1"/>
  <c r="K786" i="6"/>
  <c r="K785" i="6"/>
  <c r="L785" i="6"/>
  <c r="M785" i="6" s="1"/>
  <c r="K784" i="6"/>
  <c r="L784" i="6"/>
  <c r="M784" i="6" s="1"/>
  <c r="K783" i="6"/>
  <c r="L783" i="6"/>
  <c r="M783" i="6" s="1"/>
  <c r="K782" i="6"/>
  <c r="L782" i="6"/>
  <c r="M782" i="6" s="1"/>
  <c r="K781" i="6"/>
  <c r="K780" i="6"/>
  <c r="L780" i="6"/>
  <c r="M780" i="6" s="1"/>
  <c r="K779" i="6"/>
  <c r="L779" i="6"/>
  <c r="M779" i="6" s="1"/>
  <c r="K778" i="6"/>
  <c r="L778" i="6"/>
  <c r="M778" i="6" s="1"/>
  <c r="K777" i="6"/>
  <c r="L777" i="6"/>
  <c r="M777" i="6" s="1"/>
  <c r="K776" i="6"/>
  <c r="K775" i="6"/>
  <c r="L775" i="6"/>
  <c r="M775" i="6" s="1"/>
  <c r="K774" i="6"/>
  <c r="L774" i="6"/>
  <c r="M774" i="6" s="1"/>
  <c r="K773" i="6"/>
  <c r="L773" i="6"/>
  <c r="M773" i="6" s="1"/>
  <c r="K772" i="6"/>
  <c r="L772" i="6"/>
  <c r="M772" i="6" s="1"/>
  <c r="K771" i="6"/>
  <c r="L771" i="6"/>
  <c r="M771" i="6" s="1"/>
  <c r="K770" i="6"/>
  <c r="L770" i="6"/>
  <c r="M770" i="6" s="1"/>
  <c r="K769" i="6"/>
  <c r="K768" i="6"/>
  <c r="L768" i="6"/>
  <c r="M768" i="6" s="1"/>
  <c r="K767" i="6"/>
  <c r="L767" i="6"/>
  <c r="M767" i="6" s="1"/>
  <c r="K766" i="6"/>
  <c r="L766" i="6"/>
  <c r="M766" i="6" s="1"/>
  <c r="K765" i="6"/>
  <c r="L765" i="6"/>
  <c r="M765" i="6" s="1"/>
  <c r="K764" i="6"/>
  <c r="K763" i="6"/>
  <c r="L763" i="6"/>
  <c r="M763" i="6" s="1"/>
  <c r="K762" i="6"/>
  <c r="L762" i="6"/>
  <c r="M762" i="6" s="1"/>
  <c r="K761" i="6"/>
  <c r="L761" i="6"/>
  <c r="M761" i="6" s="1"/>
  <c r="K760" i="6"/>
  <c r="L760" i="6"/>
  <c r="M760" i="6" s="1"/>
  <c r="K759" i="6"/>
  <c r="L759" i="6"/>
  <c r="M759" i="6" s="1"/>
  <c r="K758" i="6"/>
  <c r="L758" i="6"/>
  <c r="M758" i="6" s="1"/>
  <c r="K757" i="6"/>
  <c r="K756" i="6"/>
  <c r="L756" i="6"/>
  <c r="M756" i="6" s="1"/>
  <c r="K755" i="6"/>
  <c r="L755" i="6"/>
  <c r="M755" i="6" s="1"/>
  <c r="K754" i="6"/>
  <c r="L754" i="6"/>
  <c r="M754" i="6" s="1"/>
  <c r="K753" i="6"/>
  <c r="L753" i="6"/>
  <c r="M753" i="6" s="1"/>
  <c r="K752" i="6"/>
  <c r="K751" i="6"/>
  <c r="L751" i="6"/>
  <c r="M751" i="6" s="1"/>
  <c r="K750" i="6"/>
  <c r="L750" i="6"/>
  <c r="M750" i="6" s="1"/>
  <c r="K749" i="6"/>
  <c r="L749" i="6"/>
  <c r="M749" i="6" s="1"/>
  <c r="K748" i="6"/>
  <c r="L748" i="6"/>
  <c r="M748" i="6" s="1"/>
  <c r="K747" i="6"/>
  <c r="L747" i="6"/>
  <c r="M747" i="6" s="1"/>
  <c r="K746" i="6"/>
  <c r="L746" i="6"/>
  <c r="M746" i="6" s="1"/>
  <c r="K745" i="6"/>
  <c r="K744" i="6"/>
  <c r="L744" i="6"/>
  <c r="M744" i="6" s="1"/>
  <c r="K743" i="6"/>
  <c r="L743" i="6"/>
  <c r="M743" i="6" s="1"/>
  <c r="K742" i="6"/>
  <c r="L742" i="6"/>
  <c r="M742" i="6" s="1"/>
  <c r="K741" i="6"/>
  <c r="L741" i="6"/>
  <c r="M741" i="6" s="1"/>
  <c r="K740" i="6"/>
  <c r="K739" i="6"/>
  <c r="L739" i="6"/>
  <c r="M739" i="6" s="1"/>
  <c r="K738" i="6"/>
  <c r="L738" i="6"/>
  <c r="M738" i="6" s="1"/>
  <c r="K737" i="6"/>
  <c r="L737" i="6"/>
  <c r="M737" i="6" s="1"/>
  <c r="K736" i="6"/>
  <c r="L736" i="6"/>
  <c r="M736" i="6" s="1"/>
  <c r="K735" i="6"/>
  <c r="L735" i="6"/>
  <c r="M735" i="6" s="1"/>
  <c r="K734" i="6"/>
  <c r="L734" i="6"/>
  <c r="M734" i="6" s="1"/>
  <c r="K733" i="6"/>
  <c r="K732" i="6"/>
  <c r="L732" i="6"/>
  <c r="M732" i="6" s="1"/>
  <c r="K731" i="6"/>
  <c r="L731" i="6"/>
  <c r="M731" i="6" s="1"/>
  <c r="K730" i="6"/>
  <c r="L730" i="6"/>
  <c r="M730" i="6" s="1"/>
  <c r="K729" i="6"/>
  <c r="L729" i="6"/>
  <c r="M729" i="6" s="1"/>
  <c r="K728" i="6"/>
  <c r="K727" i="6"/>
  <c r="L727" i="6"/>
  <c r="M727" i="6" s="1"/>
  <c r="K726" i="6"/>
  <c r="L726" i="6"/>
  <c r="M726" i="6" s="1"/>
  <c r="K725" i="6"/>
  <c r="L725" i="6"/>
  <c r="M725" i="6" s="1"/>
  <c r="K724" i="6"/>
  <c r="L724" i="6"/>
  <c r="M724" i="6" s="1"/>
  <c r="K723" i="6"/>
  <c r="L723" i="6"/>
  <c r="M723" i="6" s="1"/>
  <c r="K722" i="6"/>
  <c r="L722" i="6"/>
  <c r="M722" i="6" s="1"/>
  <c r="K721" i="6"/>
  <c r="K720" i="6"/>
  <c r="L720" i="6"/>
  <c r="M720" i="6" s="1"/>
  <c r="K719" i="6"/>
  <c r="L719" i="6"/>
  <c r="M719" i="6" s="1"/>
  <c r="K718" i="6"/>
  <c r="L718" i="6"/>
  <c r="M718" i="6" s="1"/>
  <c r="K717" i="6"/>
  <c r="L717" i="6"/>
  <c r="M717" i="6" s="1"/>
  <c r="K716" i="6"/>
  <c r="K715" i="6"/>
  <c r="L715" i="6"/>
  <c r="M715" i="6" s="1"/>
  <c r="K714" i="6"/>
  <c r="L714" i="6"/>
  <c r="M714" i="6" s="1"/>
  <c r="K713" i="6"/>
  <c r="L713" i="6"/>
  <c r="M713" i="6" s="1"/>
  <c r="K712" i="6"/>
  <c r="L712" i="6"/>
  <c r="M712" i="6" s="1"/>
  <c r="K711" i="6"/>
  <c r="L711" i="6"/>
  <c r="M711" i="6" s="1"/>
  <c r="K710" i="6"/>
  <c r="L710" i="6"/>
  <c r="M710" i="6" s="1"/>
  <c r="K709" i="6"/>
  <c r="K708" i="6"/>
  <c r="L708" i="6"/>
  <c r="M708" i="6" s="1"/>
  <c r="K707" i="6"/>
  <c r="L707" i="6"/>
  <c r="M707" i="6" s="1"/>
  <c r="K706" i="6"/>
  <c r="L706" i="6"/>
  <c r="M706" i="6" s="1"/>
  <c r="K705" i="6"/>
  <c r="L705" i="6"/>
  <c r="M705" i="6" s="1"/>
  <c r="K704" i="6"/>
  <c r="K703" i="6"/>
  <c r="L703" i="6"/>
  <c r="M703" i="6" s="1"/>
  <c r="K702" i="6"/>
  <c r="L702" i="6"/>
  <c r="M702" i="6" s="1"/>
  <c r="K701" i="6"/>
  <c r="L701" i="6"/>
  <c r="M701" i="6" s="1"/>
  <c r="K700" i="6"/>
  <c r="L700" i="6"/>
  <c r="M700" i="6" s="1"/>
  <c r="K699" i="6"/>
  <c r="L699" i="6"/>
  <c r="M699" i="6" s="1"/>
  <c r="K698" i="6"/>
  <c r="L698" i="6"/>
  <c r="M698" i="6" s="1"/>
  <c r="K697" i="6"/>
  <c r="K696" i="6"/>
  <c r="L696" i="6"/>
  <c r="M696" i="6" s="1"/>
  <c r="K695" i="6"/>
  <c r="L695" i="6"/>
  <c r="M695" i="6" s="1"/>
  <c r="K694" i="6"/>
  <c r="L694" i="6"/>
  <c r="M694" i="6" s="1"/>
  <c r="K693" i="6"/>
  <c r="L693" i="6"/>
  <c r="M693" i="6" s="1"/>
  <c r="K692" i="6"/>
  <c r="K691" i="6"/>
  <c r="L691" i="6"/>
  <c r="M691" i="6" s="1"/>
  <c r="K690" i="6"/>
  <c r="L690" i="6"/>
  <c r="M690" i="6" s="1"/>
  <c r="K689" i="6"/>
  <c r="L689" i="6"/>
  <c r="M689" i="6" s="1"/>
  <c r="K688" i="6"/>
  <c r="L688" i="6"/>
  <c r="M688" i="6" s="1"/>
  <c r="K687" i="6"/>
  <c r="L687" i="6"/>
  <c r="M687" i="6" s="1"/>
  <c r="K686" i="6"/>
  <c r="L686" i="6"/>
  <c r="M686" i="6" s="1"/>
  <c r="K685" i="6"/>
  <c r="K684" i="6"/>
  <c r="L684" i="6"/>
  <c r="M684" i="6" s="1"/>
  <c r="K683" i="6"/>
  <c r="L683" i="6"/>
  <c r="M683" i="6" s="1"/>
  <c r="K682" i="6"/>
  <c r="L682" i="6"/>
  <c r="M682" i="6" s="1"/>
  <c r="K681" i="6"/>
  <c r="L681" i="6"/>
  <c r="M681" i="6" s="1"/>
  <c r="K680" i="6"/>
  <c r="K679" i="6"/>
  <c r="L679" i="6"/>
  <c r="M679" i="6" s="1"/>
  <c r="K678" i="6"/>
  <c r="L678" i="6"/>
  <c r="M678" i="6" s="1"/>
  <c r="K677" i="6"/>
  <c r="L677" i="6"/>
  <c r="M677" i="6" s="1"/>
  <c r="K676" i="6"/>
  <c r="L676" i="6"/>
  <c r="M676" i="6" s="1"/>
  <c r="K675" i="6"/>
  <c r="L675" i="6"/>
  <c r="M675" i="6" s="1"/>
  <c r="K674" i="6"/>
  <c r="L674" i="6"/>
  <c r="M674" i="6" s="1"/>
  <c r="K673" i="6"/>
  <c r="K672" i="6"/>
  <c r="L672" i="6"/>
  <c r="M672" i="6" s="1"/>
  <c r="K671" i="6"/>
  <c r="L671" i="6"/>
  <c r="M671" i="6" s="1"/>
  <c r="K670" i="6"/>
  <c r="L670" i="6"/>
  <c r="M670" i="6" s="1"/>
  <c r="K669" i="6"/>
  <c r="L669" i="6"/>
  <c r="M669" i="6" s="1"/>
  <c r="K668" i="6"/>
  <c r="K667" i="6"/>
  <c r="L667" i="6"/>
  <c r="M667" i="6" s="1"/>
  <c r="K666" i="6"/>
  <c r="L666" i="6"/>
  <c r="M666" i="6" s="1"/>
  <c r="K665" i="6"/>
  <c r="L665" i="6"/>
  <c r="M665" i="6" s="1"/>
  <c r="K664" i="6"/>
  <c r="L664" i="6"/>
  <c r="M664" i="6" s="1"/>
  <c r="K663" i="6"/>
  <c r="L663" i="6"/>
  <c r="M663" i="6" s="1"/>
  <c r="K662" i="6"/>
  <c r="L662" i="6"/>
  <c r="M662" i="6" s="1"/>
  <c r="K661" i="6"/>
  <c r="K660" i="6"/>
  <c r="L660" i="6"/>
  <c r="M660" i="6" s="1"/>
  <c r="K659" i="6"/>
  <c r="L659" i="6"/>
  <c r="M659" i="6" s="1"/>
  <c r="K658" i="6"/>
  <c r="L658" i="6"/>
  <c r="M658" i="6" s="1"/>
  <c r="K657" i="6"/>
  <c r="L657" i="6"/>
  <c r="M657" i="6" s="1"/>
  <c r="K656" i="6"/>
  <c r="K655" i="6"/>
  <c r="L655" i="6"/>
  <c r="M655" i="6" s="1"/>
  <c r="K654" i="6"/>
  <c r="L654" i="6"/>
  <c r="M654" i="6" s="1"/>
  <c r="K653" i="6"/>
  <c r="L653" i="6"/>
  <c r="M653" i="6" s="1"/>
  <c r="K652" i="6"/>
  <c r="L652" i="6"/>
  <c r="M652" i="6" s="1"/>
  <c r="K651" i="6"/>
  <c r="L651" i="6"/>
  <c r="M651" i="6" s="1"/>
  <c r="K650" i="6"/>
  <c r="L650" i="6"/>
  <c r="M650" i="6" s="1"/>
  <c r="K649" i="6"/>
  <c r="K648" i="6"/>
  <c r="L648" i="6"/>
  <c r="M648" i="6" s="1"/>
  <c r="K647" i="6"/>
  <c r="L647" i="6"/>
  <c r="M647" i="6" s="1"/>
  <c r="K646" i="6"/>
  <c r="L646" i="6"/>
  <c r="M646" i="6" s="1"/>
  <c r="K645" i="6"/>
  <c r="L645" i="6"/>
  <c r="M645" i="6" s="1"/>
  <c r="K644" i="6"/>
  <c r="K643" i="6"/>
  <c r="L643" i="6"/>
  <c r="M643" i="6" s="1"/>
  <c r="K642" i="6"/>
  <c r="L642" i="6"/>
  <c r="M642" i="6" s="1"/>
  <c r="K641" i="6"/>
  <c r="L641" i="6"/>
  <c r="M641" i="6" s="1"/>
  <c r="K640" i="6"/>
  <c r="L640" i="6"/>
  <c r="M640" i="6" s="1"/>
  <c r="K639" i="6"/>
  <c r="L639" i="6"/>
  <c r="M639" i="6" s="1"/>
  <c r="K638" i="6"/>
  <c r="L638" i="6"/>
  <c r="M638" i="6" s="1"/>
  <c r="K637" i="6"/>
  <c r="K636" i="6"/>
  <c r="L636" i="6"/>
  <c r="M636" i="6" s="1"/>
  <c r="K635" i="6"/>
  <c r="L635" i="6"/>
  <c r="M635" i="6" s="1"/>
  <c r="K634" i="6"/>
  <c r="L634" i="6"/>
  <c r="M634" i="6" s="1"/>
  <c r="K633" i="6"/>
  <c r="L633" i="6"/>
  <c r="M633" i="6" s="1"/>
  <c r="K632" i="6"/>
  <c r="K631" i="6"/>
  <c r="L631" i="6"/>
  <c r="M631" i="6" s="1"/>
  <c r="K630" i="6"/>
  <c r="L630" i="6"/>
  <c r="M630" i="6" s="1"/>
  <c r="K629" i="6"/>
  <c r="L629" i="6"/>
  <c r="M629" i="6" s="1"/>
  <c r="K628" i="6"/>
  <c r="L628" i="6"/>
  <c r="M628" i="6" s="1"/>
  <c r="K627" i="6"/>
  <c r="L627" i="6"/>
  <c r="M627" i="6" s="1"/>
  <c r="K626" i="6"/>
  <c r="L626" i="6"/>
  <c r="M626" i="6" s="1"/>
  <c r="K625" i="6"/>
  <c r="K624" i="6"/>
  <c r="L624" i="6"/>
  <c r="M624" i="6" s="1"/>
  <c r="K623" i="6"/>
  <c r="L623" i="6"/>
  <c r="M623" i="6" s="1"/>
  <c r="K622" i="6"/>
  <c r="L622" i="6"/>
  <c r="M622" i="6" s="1"/>
  <c r="K621" i="6"/>
  <c r="L621" i="6"/>
  <c r="M621" i="6" s="1"/>
  <c r="K620" i="6"/>
  <c r="K619" i="6"/>
  <c r="L619" i="6"/>
  <c r="M619" i="6" s="1"/>
  <c r="K618" i="6"/>
  <c r="L618" i="6"/>
  <c r="M618" i="6" s="1"/>
  <c r="K617" i="6"/>
  <c r="L617" i="6"/>
  <c r="M617" i="6" s="1"/>
  <c r="K616" i="6"/>
  <c r="L616" i="6"/>
  <c r="M616" i="6" s="1"/>
  <c r="K615" i="6"/>
  <c r="L615" i="6"/>
  <c r="M615" i="6" s="1"/>
  <c r="K614" i="6"/>
  <c r="L614" i="6"/>
  <c r="M614" i="6" s="1"/>
  <c r="K613" i="6"/>
  <c r="K612" i="6"/>
  <c r="L612" i="6"/>
  <c r="M612" i="6" s="1"/>
  <c r="K611" i="6"/>
  <c r="L611" i="6"/>
  <c r="M611" i="6" s="1"/>
  <c r="K610" i="6"/>
  <c r="L610" i="6"/>
  <c r="M610" i="6" s="1"/>
  <c r="K609" i="6"/>
  <c r="L609" i="6"/>
  <c r="M609" i="6" s="1"/>
  <c r="K608" i="6"/>
  <c r="K607" i="6"/>
  <c r="L607" i="6"/>
  <c r="M607" i="6" s="1"/>
  <c r="K606" i="6"/>
  <c r="L606" i="6"/>
  <c r="M606" i="6" s="1"/>
  <c r="K605" i="6"/>
  <c r="L605" i="6"/>
  <c r="M605" i="6" s="1"/>
  <c r="K604" i="6"/>
  <c r="L604" i="6"/>
  <c r="M604" i="6" s="1"/>
  <c r="K603" i="6"/>
  <c r="L603" i="6"/>
  <c r="M603" i="6" s="1"/>
  <c r="K602" i="6"/>
  <c r="L602" i="6"/>
  <c r="M602" i="6" s="1"/>
  <c r="K601" i="6"/>
  <c r="K600" i="6"/>
  <c r="L600" i="6"/>
  <c r="M600" i="6" s="1"/>
  <c r="K599" i="6"/>
  <c r="L599" i="6"/>
  <c r="M599" i="6" s="1"/>
  <c r="K598" i="6"/>
  <c r="L598" i="6"/>
  <c r="M598" i="6" s="1"/>
  <c r="K597" i="6"/>
  <c r="L597" i="6"/>
  <c r="M597" i="6" s="1"/>
  <c r="K596" i="6"/>
  <c r="K595" i="6"/>
  <c r="L595" i="6"/>
  <c r="M595" i="6" s="1"/>
  <c r="K594" i="6"/>
  <c r="L594" i="6"/>
  <c r="M594" i="6" s="1"/>
  <c r="K593" i="6"/>
  <c r="L593" i="6"/>
  <c r="M593" i="6" s="1"/>
  <c r="K592" i="6"/>
  <c r="L592" i="6"/>
  <c r="M592" i="6" s="1"/>
  <c r="K591" i="6"/>
  <c r="L591" i="6"/>
  <c r="M591" i="6" s="1"/>
  <c r="K590" i="6"/>
  <c r="L590" i="6"/>
  <c r="M590" i="6" s="1"/>
  <c r="K589" i="6"/>
  <c r="K588" i="6"/>
  <c r="L588" i="6"/>
  <c r="M588" i="6" s="1"/>
  <c r="K587" i="6"/>
  <c r="L587" i="6"/>
  <c r="M587" i="6" s="1"/>
  <c r="K586" i="6"/>
  <c r="L586" i="6"/>
  <c r="M586" i="6" s="1"/>
  <c r="K585" i="6"/>
  <c r="L585" i="6"/>
  <c r="M585" i="6" s="1"/>
  <c r="K584" i="6"/>
  <c r="K583" i="6"/>
  <c r="L583" i="6"/>
  <c r="M583" i="6" s="1"/>
  <c r="K582" i="6"/>
  <c r="L582" i="6"/>
  <c r="M582" i="6" s="1"/>
  <c r="K581" i="6"/>
  <c r="L581" i="6"/>
  <c r="M581" i="6" s="1"/>
  <c r="K580" i="6"/>
  <c r="L580" i="6"/>
  <c r="M580" i="6" s="1"/>
  <c r="K579" i="6"/>
  <c r="L579" i="6"/>
  <c r="M579" i="6" s="1"/>
  <c r="K578" i="6"/>
  <c r="L578" i="6"/>
  <c r="M578" i="6" s="1"/>
  <c r="K577" i="6"/>
  <c r="K576" i="6"/>
  <c r="L576" i="6"/>
  <c r="M576" i="6" s="1"/>
  <c r="K575" i="6"/>
  <c r="L575" i="6"/>
  <c r="M575" i="6" s="1"/>
  <c r="K574" i="6"/>
  <c r="L574" i="6"/>
  <c r="M574" i="6" s="1"/>
  <c r="K573" i="6"/>
  <c r="L573" i="6"/>
  <c r="M573" i="6" s="1"/>
  <c r="K572" i="6"/>
  <c r="K571" i="6"/>
  <c r="L571" i="6"/>
  <c r="M571" i="6" s="1"/>
  <c r="K570" i="6"/>
  <c r="L570" i="6"/>
  <c r="M570" i="6" s="1"/>
  <c r="K569" i="6"/>
  <c r="L569" i="6"/>
  <c r="M569" i="6" s="1"/>
  <c r="K568" i="6"/>
  <c r="L568" i="6"/>
  <c r="M568" i="6" s="1"/>
  <c r="K567" i="6"/>
  <c r="L567" i="6"/>
  <c r="M567" i="6" s="1"/>
  <c r="K566" i="6"/>
  <c r="L566" i="6"/>
  <c r="M566" i="6" s="1"/>
  <c r="K565" i="6"/>
  <c r="K564" i="6"/>
  <c r="L564" i="6"/>
  <c r="M564" i="6" s="1"/>
  <c r="K563" i="6"/>
  <c r="L563" i="6"/>
  <c r="M563" i="6" s="1"/>
  <c r="K562" i="6"/>
  <c r="L562" i="6"/>
  <c r="M562" i="6" s="1"/>
  <c r="K561" i="6"/>
  <c r="L561" i="6"/>
  <c r="M561" i="6" s="1"/>
  <c r="K560" i="6"/>
  <c r="K559" i="6"/>
  <c r="L559" i="6"/>
  <c r="M559" i="6" s="1"/>
  <c r="K558" i="6"/>
  <c r="L558" i="6"/>
  <c r="M558" i="6" s="1"/>
  <c r="K557" i="6"/>
  <c r="L557" i="6"/>
  <c r="M557" i="6" s="1"/>
  <c r="K556" i="6"/>
  <c r="L556" i="6"/>
  <c r="M556" i="6" s="1"/>
  <c r="K555" i="6"/>
  <c r="L555" i="6"/>
  <c r="M555" i="6" s="1"/>
  <c r="K554" i="6"/>
  <c r="L554" i="6"/>
  <c r="M554" i="6" s="1"/>
  <c r="K553" i="6"/>
  <c r="K552" i="6"/>
  <c r="L552" i="6"/>
  <c r="M552" i="6" s="1"/>
  <c r="K551" i="6"/>
  <c r="L551" i="6"/>
  <c r="M551" i="6" s="1"/>
  <c r="K550" i="6"/>
  <c r="L550" i="6"/>
  <c r="M550" i="6" s="1"/>
  <c r="K549" i="6"/>
  <c r="L549" i="6"/>
  <c r="M549" i="6" s="1"/>
  <c r="K548" i="6"/>
  <c r="K547" i="6"/>
  <c r="L547" i="6"/>
  <c r="M547" i="6" s="1"/>
  <c r="K546" i="6"/>
  <c r="L546" i="6"/>
  <c r="M546" i="6" s="1"/>
  <c r="K545" i="6"/>
  <c r="L545" i="6"/>
  <c r="M545" i="6" s="1"/>
  <c r="K544" i="6"/>
  <c r="L544" i="6"/>
  <c r="M544" i="6" s="1"/>
  <c r="K543" i="6"/>
  <c r="L543" i="6"/>
  <c r="M543" i="6" s="1"/>
  <c r="K542" i="6"/>
  <c r="L542" i="6"/>
  <c r="M542" i="6" s="1"/>
  <c r="K541" i="6"/>
  <c r="K540" i="6"/>
  <c r="L540" i="6"/>
  <c r="M540" i="6" s="1"/>
  <c r="K539" i="6"/>
  <c r="L539" i="6"/>
  <c r="M539" i="6" s="1"/>
  <c r="K538" i="6"/>
  <c r="L538" i="6"/>
  <c r="M538" i="6" s="1"/>
  <c r="K537" i="6"/>
  <c r="L537" i="6"/>
  <c r="M537" i="6" s="1"/>
  <c r="K536" i="6"/>
  <c r="K535" i="6"/>
  <c r="L535" i="6"/>
  <c r="M535" i="6" s="1"/>
  <c r="K534" i="6"/>
  <c r="L534" i="6"/>
  <c r="M534" i="6" s="1"/>
  <c r="K533" i="6"/>
  <c r="L533" i="6"/>
  <c r="M533" i="6" s="1"/>
  <c r="K532" i="6"/>
  <c r="L532" i="6"/>
  <c r="M532" i="6" s="1"/>
  <c r="K531" i="6"/>
  <c r="L531" i="6"/>
  <c r="M531" i="6" s="1"/>
  <c r="K530" i="6"/>
  <c r="L530" i="6"/>
  <c r="M530" i="6" s="1"/>
  <c r="K529" i="6"/>
  <c r="K528" i="6"/>
  <c r="L528" i="6"/>
  <c r="M528" i="6" s="1"/>
  <c r="K527" i="6"/>
  <c r="L527" i="6"/>
  <c r="M527" i="6" s="1"/>
  <c r="K526" i="6"/>
  <c r="L526" i="6"/>
  <c r="M526" i="6" s="1"/>
  <c r="K525" i="6"/>
  <c r="L525" i="6"/>
  <c r="M525" i="6" s="1"/>
  <c r="K524" i="6"/>
  <c r="K523" i="6"/>
  <c r="L523" i="6"/>
  <c r="M523" i="6" s="1"/>
  <c r="K522" i="6"/>
  <c r="L522" i="6"/>
  <c r="M522" i="6" s="1"/>
  <c r="K521" i="6"/>
  <c r="L521" i="6"/>
  <c r="M521" i="6" s="1"/>
  <c r="K520" i="6"/>
  <c r="L520" i="6"/>
  <c r="M520" i="6" s="1"/>
  <c r="K519" i="6"/>
  <c r="L519" i="6"/>
  <c r="M519" i="6" s="1"/>
  <c r="K518" i="6"/>
  <c r="L518" i="6"/>
  <c r="M518" i="6" s="1"/>
  <c r="K517" i="6"/>
  <c r="K516" i="6"/>
  <c r="L516" i="6"/>
  <c r="M516" i="6" s="1"/>
  <c r="K515" i="6"/>
  <c r="L515" i="6"/>
  <c r="M515" i="6" s="1"/>
  <c r="K514" i="6"/>
  <c r="L514" i="6"/>
  <c r="M514" i="6" s="1"/>
  <c r="K513" i="6"/>
  <c r="L513" i="6"/>
  <c r="M513" i="6" s="1"/>
  <c r="K512" i="6"/>
  <c r="K511" i="6"/>
  <c r="L511" i="6"/>
  <c r="M511" i="6" s="1"/>
  <c r="K510" i="6"/>
  <c r="L510" i="6"/>
  <c r="M510" i="6" s="1"/>
  <c r="K509" i="6"/>
  <c r="L509" i="6"/>
  <c r="M509" i="6" s="1"/>
  <c r="K508" i="6"/>
  <c r="L508" i="6"/>
  <c r="M508" i="6" s="1"/>
  <c r="K507" i="6"/>
  <c r="L507" i="6"/>
  <c r="M507" i="6" s="1"/>
  <c r="K506" i="6"/>
  <c r="L506" i="6"/>
  <c r="M506" i="6" s="1"/>
  <c r="K505" i="6"/>
  <c r="K504" i="6"/>
  <c r="L504" i="6" s="1"/>
  <c r="M504" i="6" s="1"/>
  <c r="K503" i="6"/>
  <c r="L503" i="6" s="1"/>
  <c r="M503" i="6" s="1"/>
  <c r="K502" i="6"/>
  <c r="L502" i="6" s="1"/>
  <c r="M502" i="6" s="1"/>
  <c r="K501" i="6"/>
  <c r="L501" i="6" s="1"/>
  <c r="M501" i="6" s="1"/>
  <c r="K500" i="6"/>
  <c r="L500" i="6" s="1"/>
  <c r="M500" i="6" s="1"/>
  <c r="K499" i="6"/>
  <c r="L499" i="6" s="1"/>
  <c r="M499" i="6" s="1"/>
  <c r="K498" i="6"/>
  <c r="L498" i="6" s="1"/>
  <c r="M498" i="6" s="1"/>
  <c r="K497" i="6"/>
  <c r="L497" i="6" s="1"/>
  <c r="M497" i="6" s="1"/>
  <c r="K496" i="6"/>
  <c r="L496" i="6" s="1"/>
  <c r="M496" i="6" s="1"/>
  <c r="K495" i="6"/>
  <c r="L495" i="6" s="1"/>
  <c r="M495" i="6" s="1"/>
  <c r="K494" i="6"/>
  <c r="L494" i="6" s="1"/>
  <c r="M494" i="6" s="1"/>
  <c r="K493" i="6"/>
  <c r="L493" i="6" s="1"/>
  <c r="M493" i="6" s="1"/>
  <c r="K492" i="6"/>
  <c r="L492" i="6" s="1"/>
  <c r="M492" i="6" s="1"/>
  <c r="K491" i="6"/>
  <c r="L491" i="6" s="1"/>
  <c r="M491" i="6" s="1"/>
  <c r="K490" i="6"/>
  <c r="L490" i="6" s="1"/>
  <c r="M490" i="6" s="1"/>
  <c r="K489" i="6"/>
  <c r="L489" i="6" s="1"/>
  <c r="M489" i="6" s="1"/>
  <c r="K488" i="6"/>
  <c r="L488" i="6" s="1"/>
  <c r="M488" i="6" s="1"/>
  <c r="K487" i="6"/>
  <c r="L487" i="6" s="1"/>
  <c r="M487" i="6" s="1"/>
  <c r="K486" i="6"/>
  <c r="L486" i="6" s="1"/>
  <c r="M486" i="6" s="1"/>
  <c r="K485" i="6"/>
  <c r="L485" i="6" s="1"/>
  <c r="M485" i="6" s="1"/>
  <c r="K484" i="6"/>
  <c r="L484" i="6" s="1"/>
  <c r="M484" i="6" s="1"/>
  <c r="K483" i="6"/>
  <c r="L483" i="6" s="1"/>
  <c r="M483" i="6" s="1"/>
  <c r="K482" i="6"/>
  <c r="L482" i="6" s="1"/>
  <c r="M482" i="6" s="1"/>
  <c r="K481" i="6"/>
  <c r="L481" i="6" s="1"/>
  <c r="M481" i="6" s="1"/>
  <c r="K480" i="6"/>
  <c r="L480" i="6" s="1"/>
  <c r="M480" i="6" s="1"/>
  <c r="K479" i="6"/>
  <c r="L479" i="6" s="1"/>
  <c r="M479" i="6" s="1"/>
  <c r="K478" i="6"/>
  <c r="L478" i="6" s="1"/>
  <c r="M478" i="6" s="1"/>
  <c r="K477" i="6"/>
  <c r="L477" i="6" s="1"/>
  <c r="M477" i="6" s="1"/>
  <c r="K476" i="6"/>
  <c r="L476" i="6" s="1"/>
  <c r="M476" i="6" s="1"/>
  <c r="K475" i="6"/>
  <c r="L475" i="6" s="1"/>
  <c r="M475" i="6" s="1"/>
  <c r="K474" i="6"/>
  <c r="L474" i="6" s="1"/>
  <c r="M474" i="6" s="1"/>
  <c r="K473" i="6"/>
  <c r="L473" i="6" s="1"/>
  <c r="M473" i="6" s="1"/>
  <c r="K472" i="6"/>
  <c r="L472" i="6" s="1"/>
  <c r="M472" i="6" s="1"/>
  <c r="K471" i="6"/>
  <c r="L471" i="6" s="1"/>
  <c r="M471" i="6" s="1"/>
  <c r="K470" i="6"/>
  <c r="L470" i="6" s="1"/>
  <c r="M470" i="6" s="1"/>
  <c r="K469" i="6"/>
  <c r="L469" i="6" s="1"/>
  <c r="M469" i="6" s="1"/>
  <c r="K468" i="6"/>
  <c r="L468" i="6" s="1"/>
  <c r="M468" i="6" s="1"/>
  <c r="K467" i="6"/>
  <c r="L467" i="6" s="1"/>
  <c r="M467" i="6" s="1"/>
  <c r="K466" i="6"/>
  <c r="L466" i="6" s="1"/>
  <c r="M466" i="6" s="1"/>
  <c r="K465" i="6"/>
  <c r="L465" i="6" s="1"/>
  <c r="M465" i="6" s="1"/>
  <c r="K464" i="6"/>
  <c r="L464" i="6" s="1"/>
  <c r="M464" i="6" s="1"/>
  <c r="K463" i="6"/>
  <c r="L463" i="6" s="1"/>
  <c r="M463" i="6" s="1"/>
  <c r="K462" i="6"/>
  <c r="L462" i="6" s="1"/>
  <c r="M462" i="6" s="1"/>
  <c r="K461" i="6"/>
  <c r="L461" i="6" s="1"/>
  <c r="M461" i="6" s="1"/>
  <c r="K460" i="6"/>
  <c r="L460" i="6" s="1"/>
  <c r="M460" i="6" s="1"/>
  <c r="K459" i="6"/>
  <c r="L459" i="6" s="1"/>
  <c r="M459" i="6" s="1"/>
  <c r="K458" i="6"/>
  <c r="L458" i="6" s="1"/>
  <c r="M458" i="6" s="1"/>
  <c r="K457" i="6"/>
  <c r="L457" i="6" s="1"/>
  <c r="M457" i="6" s="1"/>
  <c r="K456" i="6"/>
  <c r="L456" i="6" s="1"/>
  <c r="M456" i="6" s="1"/>
  <c r="K455" i="6"/>
  <c r="L455" i="6" s="1"/>
  <c r="M455" i="6" s="1"/>
  <c r="K454" i="6"/>
  <c r="L454" i="6" s="1"/>
  <c r="M454" i="6" s="1"/>
  <c r="K453" i="6"/>
  <c r="L453" i="6" s="1"/>
  <c r="M453" i="6" s="1"/>
  <c r="K452" i="6"/>
  <c r="L452" i="6" s="1"/>
  <c r="M452" i="6" s="1"/>
  <c r="K451" i="6"/>
  <c r="L451" i="6" s="1"/>
  <c r="M451" i="6" s="1"/>
  <c r="K450" i="6"/>
  <c r="L450" i="6" s="1"/>
  <c r="M450" i="6" s="1"/>
  <c r="K449" i="6"/>
  <c r="L449" i="6" s="1"/>
  <c r="M449" i="6" s="1"/>
  <c r="K448" i="6"/>
  <c r="L448" i="6" s="1"/>
  <c r="M448" i="6" s="1"/>
  <c r="K447" i="6"/>
  <c r="L447" i="6" s="1"/>
  <c r="M447" i="6" s="1"/>
  <c r="K446" i="6"/>
  <c r="L446" i="6" s="1"/>
  <c r="M446" i="6" s="1"/>
  <c r="K445" i="6"/>
  <c r="L445" i="6" s="1"/>
  <c r="M445" i="6" s="1"/>
  <c r="K444" i="6"/>
  <c r="L444" i="6" s="1"/>
  <c r="M444" i="6" s="1"/>
  <c r="K443" i="6"/>
  <c r="L443" i="6" s="1"/>
  <c r="M443" i="6" s="1"/>
  <c r="K442" i="6"/>
  <c r="L442" i="6" s="1"/>
  <c r="M442" i="6" s="1"/>
  <c r="K441" i="6"/>
  <c r="L441" i="6" s="1"/>
  <c r="M441" i="6" s="1"/>
  <c r="K440" i="6"/>
  <c r="L440" i="6" s="1"/>
  <c r="M440" i="6" s="1"/>
  <c r="K439" i="6"/>
  <c r="L439" i="6" s="1"/>
  <c r="M439" i="6" s="1"/>
  <c r="K438" i="6"/>
  <c r="L438" i="6" s="1"/>
  <c r="M438" i="6" s="1"/>
  <c r="K437" i="6"/>
  <c r="L437" i="6" s="1"/>
  <c r="M437" i="6" s="1"/>
  <c r="K436" i="6"/>
  <c r="L436" i="6" s="1"/>
  <c r="M436" i="6" s="1"/>
  <c r="K435" i="6"/>
  <c r="L435" i="6" s="1"/>
  <c r="M435" i="6" s="1"/>
  <c r="K434" i="6"/>
  <c r="L434" i="6" s="1"/>
  <c r="M434" i="6" s="1"/>
  <c r="K433" i="6"/>
  <c r="L433" i="6" s="1"/>
  <c r="M433" i="6" s="1"/>
  <c r="K432" i="6"/>
  <c r="L432" i="6" s="1"/>
  <c r="M432" i="6" s="1"/>
  <c r="K431" i="6"/>
  <c r="L431" i="6" s="1"/>
  <c r="M431" i="6" s="1"/>
  <c r="K430" i="6"/>
  <c r="L430" i="6" s="1"/>
  <c r="M430" i="6" s="1"/>
  <c r="K429" i="6"/>
  <c r="L429" i="6" s="1"/>
  <c r="M429" i="6" s="1"/>
  <c r="K428" i="6"/>
  <c r="L428" i="6" s="1"/>
  <c r="M428" i="6" s="1"/>
  <c r="K427" i="6"/>
  <c r="L427" i="6" s="1"/>
  <c r="M427" i="6" s="1"/>
  <c r="K426" i="6"/>
  <c r="L426" i="6" s="1"/>
  <c r="M426" i="6" s="1"/>
  <c r="K425" i="6"/>
  <c r="L425" i="6" s="1"/>
  <c r="M425" i="6" s="1"/>
  <c r="K424" i="6"/>
  <c r="L424" i="6" s="1"/>
  <c r="M424" i="6" s="1"/>
  <c r="K423" i="6"/>
  <c r="L423" i="6" s="1"/>
  <c r="M423" i="6" s="1"/>
  <c r="K422" i="6"/>
  <c r="L422" i="6" s="1"/>
  <c r="M422" i="6" s="1"/>
  <c r="K421" i="6"/>
  <c r="L421" i="6" s="1"/>
  <c r="M421" i="6" s="1"/>
  <c r="K420" i="6"/>
  <c r="L420" i="6" s="1"/>
  <c r="M420" i="6" s="1"/>
  <c r="K419" i="6"/>
  <c r="L419" i="6" s="1"/>
  <c r="M419" i="6" s="1"/>
  <c r="K418" i="6"/>
  <c r="L418" i="6" s="1"/>
  <c r="M418" i="6" s="1"/>
  <c r="K417" i="6"/>
  <c r="L417" i="6" s="1"/>
  <c r="M417" i="6" s="1"/>
  <c r="K416" i="6"/>
  <c r="L416" i="6" s="1"/>
  <c r="M416" i="6" s="1"/>
  <c r="K415" i="6"/>
  <c r="L415" i="6" s="1"/>
  <c r="M415" i="6" s="1"/>
  <c r="K414" i="6"/>
  <c r="L414" i="6" s="1"/>
  <c r="M414" i="6" s="1"/>
  <c r="K413" i="6"/>
  <c r="L413" i="6" s="1"/>
  <c r="M413" i="6" s="1"/>
  <c r="K412" i="6"/>
  <c r="L412" i="6" s="1"/>
  <c r="M412" i="6" s="1"/>
  <c r="K411" i="6"/>
  <c r="L411" i="6" s="1"/>
  <c r="M411" i="6" s="1"/>
  <c r="K410" i="6"/>
  <c r="L410" i="6" s="1"/>
  <c r="M410" i="6" s="1"/>
  <c r="K409" i="6"/>
  <c r="L409" i="6" s="1"/>
  <c r="M409" i="6" s="1"/>
  <c r="K408" i="6"/>
  <c r="L408" i="6" s="1"/>
  <c r="M408" i="6" s="1"/>
  <c r="K407" i="6"/>
  <c r="L407" i="6" s="1"/>
  <c r="M407" i="6" s="1"/>
  <c r="K406" i="6"/>
  <c r="L406" i="6" s="1"/>
  <c r="M406" i="6" s="1"/>
  <c r="K405" i="6"/>
  <c r="L405" i="6" s="1"/>
  <c r="M405" i="6" s="1"/>
  <c r="K404" i="6"/>
  <c r="L404" i="6" s="1"/>
  <c r="M404" i="6" s="1"/>
  <c r="K403" i="6"/>
  <c r="L403" i="6" s="1"/>
  <c r="M403" i="6" s="1"/>
  <c r="K402" i="6"/>
  <c r="L402" i="6" s="1"/>
  <c r="M402" i="6" s="1"/>
  <c r="K401" i="6"/>
  <c r="L401" i="6" s="1"/>
  <c r="M401" i="6" s="1"/>
  <c r="K400" i="6"/>
  <c r="L400" i="6" s="1"/>
  <c r="M400" i="6" s="1"/>
  <c r="K399" i="6"/>
  <c r="L399" i="6" s="1"/>
  <c r="M399" i="6" s="1"/>
  <c r="K398" i="6"/>
  <c r="L398" i="6" s="1"/>
  <c r="M398" i="6" s="1"/>
  <c r="K397" i="6"/>
  <c r="L397" i="6" s="1"/>
  <c r="M397" i="6" s="1"/>
  <c r="K396" i="6"/>
  <c r="L396" i="6" s="1"/>
  <c r="M396" i="6" s="1"/>
  <c r="K395" i="6"/>
  <c r="L395" i="6" s="1"/>
  <c r="M395" i="6" s="1"/>
  <c r="K394" i="6"/>
  <c r="L394" i="6" s="1"/>
  <c r="M394" i="6" s="1"/>
  <c r="K393" i="6"/>
  <c r="L393" i="6" s="1"/>
  <c r="M393" i="6" s="1"/>
  <c r="K392" i="6"/>
  <c r="L392" i="6" s="1"/>
  <c r="M392" i="6" s="1"/>
  <c r="K391" i="6"/>
  <c r="L391" i="6" s="1"/>
  <c r="M391" i="6" s="1"/>
  <c r="K390" i="6"/>
  <c r="L390" i="6" s="1"/>
  <c r="M390" i="6" s="1"/>
  <c r="K389" i="6"/>
  <c r="L389" i="6" s="1"/>
  <c r="M389" i="6" s="1"/>
  <c r="K388" i="6"/>
  <c r="L388" i="6" s="1"/>
  <c r="M388" i="6" s="1"/>
  <c r="K387" i="6"/>
  <c r="L387" i="6" s="1"/>
  <c r="M387" i="6" s="1"/>
  <c r="K386" i="6"/>
  <c r="L386" i="6" s="1"/>
  <c r="M386" i="6" s="1"/>
  <c r="K385" i="6"/>
  <c r="L385" i="6" s="1"/>
  <c r="M385" i="6" s="1"/>
  <c r="K384" i="6"/>
  <c r="L384" i="6" s="1"/>
  <c r="M384" i="6" s="1"/>
  <c r="K383" i="6"/>
  <c r="L383" i="6" s="1"/>
  <c r="M383" i="6" s="1"/>
  <c r="K382" i="6"/>
  <c r="L382" i="6" s="1"/>
  <c r="M382" i="6" s="1"/>
  <c r="K381" i="6"/>
  <c r="L381" i="6" s="1"/>
  <c r="M381" i="6" s="1"/>
  <c r="K380" i="6"/>
  <c r="L380" i="6" s="1"/>
  <c r="M380" i="6" s="1"/>
  <c r="K379" i="6"/>
  <c r="L379" i="6" s="1"/>
  <c r="M379" i="6" s="1"/>
  <c r="K378" i="6"/>
  <c r="L378" i="6" s="1"/>
  <c r="M378" i="6" s="1"/>
  <c r="K377" i="6"/>
  <c r="L377" i="6" s="1"/>
  <c r="M377" i="6" s="1"/>
  <c r="K376" i="6"/>
  <c r="L376" i="6" s="1"/>
  <c r="M376" i="6" s="1"/>
  <c r="K375" i="6"/>
  <c r="L375" i="6" s="1"/>
  <c r="M375" i="6" s="1"/>
  <c r="K374" i="6"/>
  <c r="L374" i="6" s="1"/>
  <c r="M374" i="6" s="1"/>
  <c r="K373" i="6"/>
  <c r="L373" i="6" s="1"/>
  <c r="M373" i="6" s="1"/>
  <c r="K372" i="6"/>
  <c r="L372" i="6" s="1"/>
  <c r="M372" i="6" s="1"/>
  <c r="K371" i="6"/>
  <c r="L371" i="6" s="1"/>
  <c r="M371" i="6" s="1"/>
  <c r="K370" i="6"/>
  <c r="L370" i="6" s="1"/>
  <c r="M370" i="6" s="1"/>
  <c r="K369" i="6"/>
  <c r="L369" i="6" s="1"/>
  <c r="M369" i="6" s="1"/>
  <c r="K368" i="6"/>
  <c r="L368" i="6" s="1"/>
  <c r="M368" i="6" s="1"/>
  <c r="K367" i="6"/>
  <c r="L367" i="6" s="1"/>
  <c r="M367" i="6" s="1"/>
  <c r="K366" i="6"/>
  <c r="L366" i="6" s="1"/>
  <c r="M366" i="6" s="1"/>
  <c r="K365" i="6"/>
  <c r="L365" i="6" s="1"/>
  <c r="M365" i="6" s="1"/>
  <c r="K364" i="6"/>
  <c r="L364" i="6" s="1"/>
  <c r="M364" i="6" s="1"/>
  <c r="K363" i="6"/>
  <c r="L363" i="6" s="1"/>
  <c r="M363" i="6" s="1"/>
  <c r="K362" i="6"/>
  <c r="L362" i="6" s="1"/>
  <c r="M362" i="6" s="1"/>
  <c r="K361" i="6"/>
  <c r="L361" i="6" s="1"/>
  <c r="M361" i="6" s="1"/>
  <c r="K360" i="6"/>
  <c r="L360" i="6" s="1"/>
  <c r="M360" i="6" s="1"/>
  <c r="K359" i="6"/>
  <c r="L359" i="6" s="1"/>
  <c r="M359" i="6" s="1"/>
  <c r="K358" i="6"/>
  <c r="L358" i="6" s="1"/>
  <c r="M358" i="6" s="1"/>
  <c r="K357" i="6"/>
  <c r="L357" i="6" s="1"/>
  <c r="M357" i="6" s="1"/>
  <c r="K356" i="6"/>
  <c r="L356" i="6" s="1"/>
  <c r="M356" i="6" s="1"/>
  <c r="K355" i="6"/>
  <c r="L355" i="6" s="1"/>
  <c r="M355" i="6" s="1"/>
  <c r="K354" i="6"/>
  <c r="L354" i="6" s="1"/>
  <c r="M354" i="6" s="1"/>
  <c r="K353" i="6"/>
  <c r="L353" i="6" s="1"/>
  <c r="M353" i="6" s="1"/>
  <c r="K352" i="6"/>
  <c r="L352" i="6" s="1"/>
  <c r="M352" i="6" s="1"/>
  <c r="K351" i="6"/>
  <c r="L351" i="6" s="1"/>
  <c r="M351" i="6" s="1"/>
  <c r="K350" i="6"/>
  <c r="L350" i="6" s="1"/>
  <c r="M350" i="6" s="1"/>
  <c r="K349" i="6"/>
  <c r="L349" i="6" s="1"/>
  <c r="M349" i="6" s="1"/>
  <c r="K348" i="6"/>
  <c r="L348" i="6" s="1"/>
  <c r="M348" i="6" s="1"/>
  <c r="K347" i="6"/>
  <c r="L347" i="6" s="1"/>
  <c r="M347" i="6" s="1"/>
  <c r="K346" i="6"/>
  <c r="L346" i="6" s="1"/>
  <c r="M346" i="6" s="1"/>
  <c r="K345" i="6"/>
  <c r="L345" i="6" s="1"/>
  <c r="M345" i="6" s="1"/>
  <c r="K344" i="6"/>
  <c r="L344" i="6" s="1"/>
  <c r="M344" i="6" s="1"/>
  <c r="K343" i="6"/>
  <c r="L343" i="6" s="1"/>
  <c r="M343" i="6" s="1"/>
  <c r="K342" i="6"/>
  <c r="L342" i="6" s="1"/>
  <c r="M342" i="6" s="1"/>
  <c r="K341" i="6"/>
  <c r="L341" i="6" s="1"/>
  <c r="M341" i="6" s="1"/>
  <c r="K340" i="6"/>
  <c r="L340" i="6" s="1"/>
  <c r="M340" i="6" s="1"/>
  <c r="K339" i="6"/>
  <c r="L339" i="6" s="1"/>
  <c r="M339" i="6" s="1"/>
  <c r="K338" i="6"/>
  <c r="L338" i="6" s="1"/>
  <c r="M338" i="6" s="1"/>
  <c r="K337" i="6"/>
  <c r="L337" i="6" s="1"/>
  <c r="M337" i="6" s="1"/>
  <c r="K336" i="6"/>
  <c r="L336" i="6" s="1"/>
  <c r="M336" i="6" s="1"/>
  <c r="K335" i="6"/>
  <c r="L335" i="6" s="1"/>
  <c r="M335" i="6" s="1"/>
  <c r="K334" i="6"/>
  <c r="L334" i="6" s="1"/>
  <c r="M334" i="6" s="1"/>
  <c r="K333" i="6"/>
  <c r="L333" i="6" s="1"/>
  <c r="M333" i="6" s="1"/>
  <c r="K332" i="6"/>
  <c r="L332" i="6" s="1"/>
  <c r="M332" i="6" s="1"/>
  <c r="K331" i="6"/>
  <c r="L331" i="6" s="1"/>
  <c r="M331" i="6" s="1"/>
  <c r="K330" i="6"/>
  <c r="L330" i="6" s="1"/>
  <c r="M330" i="6" s="1"/>
  <c r="K329" i="6"/>
  <c r="L329" i="6" s="1"/>
  <c r="M329" i="6" s="1"/>
  <c r="K328" i="6"/>
  <c r="L328" i="6" s="1"/>
  <c r="M328" i="6" s="1"/>
  <c r="K327" i="6"/>
  <c r="L327" i="6" s="1"/>
  <c r="M327" i="6" s="1"/>
  <c r="K326" i="6"/>
  <c r="L326" i="6" s="1"/>
  <c r="M326" i="6" s="1"/>
  <c r="K325" i="6"/>
  <c r="L325" i="6" s="1"/>
  <c r="M325" i="6" s="1"/>
  <c r="K324" i="6"/>
  <c r="L324" i="6" s="1"/>
  <c r="M324" i="6" s="1"/>
  <c r="K323" i="6"/>
  <c r="L323" i="6" s="1"/>
  <c r="M323" i="6" s="1"/>
  <c r="K322" i="6"/>
  <c r="L322" i="6" s="1"/>
  <c r="M322" i="6" s="1"/>
  <c r="K321" i="6"/>
  <c r="L321" i="6" s="1"/>
  <c r="M321" i="6" s="1"/>
  <c r="K320" i="6"/>
  <c r="L320" i="6" s="1"/>
  <c r="M320" i="6" s="1"/>
  <c r="K319" i="6"/>
  <c r="L319" i="6" s="1"/>
  <c r="M319" i="6" s="1"/>
  <c r="K318" i="6"/>
  <c r="L318" i="6" s="1"/>
  <c r="M318" i="6" s="1"/>
  <c r="K317" i="6"/>
  <c r="L317" i="6" s="1"/>
  <c r="M317" i="6" s="1"/>
  <c r="K316" i="6"/>
  <c r="L316" i="6" s="1"/>
  <c r="M316" i="6" s="1"/>
  <c r="K315" i="6"/>
  <c r="L315" i="6" s="1"/>
  <c r="M315" i="6" s="1"/>
  <c r="K314" i="6"/>
  <c r="L314" i="6" s="1"/>
  <c r="M314" i="6" s="1"/>
  <c r="K313" i="6"/>
  <c r="L313" i="6" s="1"/>
  <c r="M313" i="6" s="1"/>
  <c r="K312" i="6"/>
  <c r="L312" i="6" s="1"/>
  <c r="M312" i="6" s="1"/>
  <c r="K311" i="6"/>
  <c r="L311" i="6" s="1"/>
  <c r="M311" i="6" s="1"/>
  <c r="K310" i="6"/>
  <c r="L310" i="6" s="1"/>
  <c r="M310" i="6" s="1"/>
  <c r="K309" i="6"/>
  <c r="L309" i="6" s="1"/>
  <c r="M309" i="6" s="1"/>
  <c r="K308" i="6"/>
  <c r="L308" i="6" s="1"/>
  <c r="M308" i="6" s="1"/>
  <c r="K307" i="6"/>
  <c r="L307" i="6" s="1"/>
  <c r="M307" i="6" s="1"/>
  <c r="K306" i="6"/>
  <c r="L306" i="6" s="1"/>
  <c r="M306" i="6" s="1"/>
  <c r="K305" i="6"/>
  <c r="L305" i="6" s="1"/>
  <c r="M305" i="6" s="1"/>
  <c r="K304" i="6"/>
  <c r="L304" i="6" s="1"/>
  <c r="M304" i="6" s="1"/>
  <c r="K303" i="6"/>
  <c r="L303" i="6" s="1"/>
  <c r="M303" i="6" s="1"/>
  <c r="K302" i="6"/>
  <c r="L302" i="6" s="1"/>
  <c r="M302" i="6" s="1"/>
  <c r="K301" i="6"/>
  <c r="L301" i="6" s="1"/>
  <c r="M301" i="6" s="1"/>
  <c r="K300" i="6"/>
  <c r="L300" i="6" s="1"/>
  <c r="M300" i="6" s="1"/>
  <c r="K299" i="6"/>
  <c r="L299" i="6" s="1"/>
  <c r="M299" i="6" s="1"/>
  <c r="K298" i="6"/>
  <c r="L298" i="6" s="1"/>
  <c r="M298" i="6" s="1"/>
  <c r="K297" i="6"/>
  <c r="L297" i="6" s="1"/>
  <c r="M297" i="6" s="1"/>
  <c r="K296" i="6"/>
  <c r="L296" i="6" s="1"/>
  <c r="M296" i="6" s="1"/>
  <c r="K295" i="6"/>
  <c r="L295" i="6" s="1"/>
  <c r="M295" i="6" s="1"/>
  <c r="K294" i="6"/>
  <c r="L294" i="6" s="1"/>
  <c r="M294" i="6" s="1"/>
  <c r="K293" i="6"/>
  <c r="L293" i="6" s="1"/>
  <c r="M293" i="6" s="1"/>
  <c r="K292" i="6"/>
  <c r="L292" i="6" s="1"/>
  <c r="M292" i="6" s="1"/>
  <c r="K291" i="6"/>
  <c r="L291" i="6" s="1"/>
  <c r="M291" i="6" s="1"/>
  <c r="K290" i="6"/>
  <c r="L290" i="6" s="1"/>
  <c r="M290" i="6" s="1"/>
  <c r="K289" i="6"/>
  <c r="L289" i="6" s="1"/>
  <c r="M289" i="6" s="1"/>
  <c r="K288" i="6"/>
  <c r="L288" i="6" s="1"/>
  <c r="M288" i="6" s="1"/>
  <c r="K287" i="6"/>
  <c r="L287" i="6" s="1"/>
  <c r="M287" i="6" s="1"/>
  <c r="K286" i="6"/>
  <c r="L286" i="6" s="1"/>
  <c r="M286" i="6" s="1"/>
  <c r="K285" i="6"/>
  <c r="L285" i="6" s="1"/>
  <c r="M285" i="6" s="1"/>
  <c r="K284" i="6"/>
  <c r="L284" i="6" s="1"/>
  <c r="M284" i="6" s="1"/>
  <c r="K283" i="6"/>
  <c r="L283" i="6" s="1"/>
  <c r="M283" i="6" s="1"/>
  <c r="K282" i="6"/>
  <c r="L282" i="6" s="1"/>
  <c r="M282" i="6" s="1"/>
  <c r="K281" i="6"/>
  <c r="L281" i="6" s="1"/>
  <c r="M281" i="6" s="1"/>
  <c r="K280" i="6"/>
  <c r="L280" i="6" s="1"/>
  <c r="M280" i="6" s="1"/>
  <c r="K279" i="6"/>
  <c r="L279" i="6" s="1"/>
  <c r="M279" i="6" s="1"/>
  <c r="K278" i="6"/>
  <c r="L278" i="6" s="1"/>
  <c r="M278" i="6" s="1"/>
  <c r="K277" i="6"/>
  <c r="L277" i="6" s="1"/>
  <c r="M277" i="6" s="1"/>
  <c r="K276" i="6"/>
  <c r="L276" i="6" s="1"/>
  <c r="M276" i="6" s="1"/>
  <c r="K275" i="6"/>
  <c r="L275" i="6" s="1"/>
  <c r="M275" i="6" s="1"/>
  <c r="K274" i="6"/>
  <c r="L274" i="6" s="1"/>
  <c r="M274" i="6" s="1"/>
  <c r="K273" i="6"/>
  <c r="L273" i="6" s="1"/>
  <c r="M273" i="6" s="1"/>
  <c r="K272" i="6"/>
  <c r="L272" i="6" s="1"/>
  <c r="M272" i="6" s="1"/>
  <c r="K271" i="6"/>
  <c r="L271" i="6" s="1"/>
  <c r="M271" i="6" s="1"/>
  <c r="K270" i="6"/>
  <c r="L270" i="6" s="1"/>
  <c r="M270" i="6" s="1"/>
  <c r="K269" i="6"/>
  <c r="L269" i="6" s="1"/>
  <c r="M269" i="6" s="1"/>
  <c r="K268" i="6"/>
  <c r="L268" i="6" s="1"/>
  <c r="M268" i="6" s="1"/>
  <c r="K267" i="6"/>
  <c r="L267" i="6" s="1"/>
  <c r="M267" i="6" s="1"/>
  <c r="K266" i="6"/>
  <c r="L266" i="6" s="1"/>
  <c r="M266" i="6" s="1"/>
  <c r="K265" i="6"/>
  <c r="L265" i="6" s="1"/>
  <c r="M265" i="6" s="1"/>
  <c r="K264" i="6"/>
  <c r="L264" i="6" s="1"/>
  <c r="M264" i="6" s="1"/>
  <c r="K263" i="6"/>
  <c r="L263" i="6" s="1"/>
  <c r="M263" i="6" s="1"/>
  <c r="K262" i="6"/>
  <c r="L262" i="6" s="1"/>
  <c r="M262" i="6" s="1"/>
  <c r="K261" i="6"/>
  <c r="L261" i="6" s="1"/>
  <c r="M261" i="6" s="1"/>
  <c r="K260" i="6"/>
  <c r="L260" i="6" s="1"/>
  <c r="M260" i="6" s="1"/>
  <c r="K259" i="6"/>
  <c r="L259" i="6" s="1"/>
  <c r="M259" i="6" s="1"/>
  <c r="K258" i="6"/>
  <c r="L258" i="6" s="1"/>
  <c r="M258" i="6" s="1"/>
  <c r="K257" i="6"/>
  <c r="L257" i="6" s="1"/>
  <c r="M257" i="6" s="1"/>
  <c r="K256" i="6"/>
  <c r="L256" i="6" s="1"/>
  <c r="M256" i="6" s="1"/>
  <c r="K255" i="6"/>
  <c r="L255" i="6" s="1"/>
  <c r="M255" i="6" s="1"/>
  <c r="K254" i="6"/>
  <c r="L254" i="6" s="1"/>
  <c r="M254" i="6" s="1"/>
  <c r="K253" i="6"/>
  <c r="L253" i="6" s="1"/>
  <c r="M253" i="6" s="1"/>
  <c r="K252" i="6"/>
  <c r="L252" i="6" s="1"/>
  <c r="M252" i="6" s="1"/>
  <c r="K251" i="6"/>
  <c r="L251" i="6" s="1"/>
  <c r="M251" i="6" s="1"/>
  <c r="K250" i="6"/>
  <c r="L250" i="6" s="1"/>
  <c r="M250" i="6" s="1"/>
  <c r="K249" i="6"/>
  <c r="L249" i="6" s="1"/>
  <c r="M249" i="6" s="1"/>
  <c r="K248" i="6"/>
  <c r="L248" i="6" s="1"/>
  <c r="M248" i="6" s="1"/>
  <c r="K247" i="6"/>
  <c r="L247" i="6" s="1"/>
  <c r="M247" i="6" s="1"/>
  <c r="K246" i="6"/>
  <c r="L246" i="6" s="1"/>
  <c r="M246" i="6" s="1"/>
  <c r="K245" i="6"/>
  <c r="L245" i="6" s="1"/>
  <c r="M245" i="6" s="1"/>
  <c r="K244" i="6"/>
  <c r="L244" i="6" s="1"/>
  <c r="M244" i="6" s="1"/>
  <c r="K243" i="6"/>
  <c r="L243" i="6" s="1"/>
  <c r="M243" i="6" s="1"/>
  <c r="K242" i="6"/>
  <c r="L242" i="6" s="1"/>
  <c r="M242" i="6" s="1"/>
  <c r="K241" i="6"/>
  <c r="L241" i="6" s="1"/>
  <c r="M241" i="6" s="1"/>
  <c r="K240" i="6"/>
  <c r="L240" i="6" s="1"/>
  <c r="M240" i="6" s="1"/>
  <c r="K239" i="6"/>
  <c r="L239" i="6" s="1"/>
  <c r="M239" i="6" s="1"/>
  <c r="K238" i="6"/>
  <c r="L238" i="6" s="1"/>
  <c r="M238" i="6" s="1"/>
  <c r="K237" i="6"/>
  <c r="L237" i="6" s="1"/>
  <c r="M237" i="6" s="1"/>
  <c r="K236" i="6"/>
  <c r="L236" i="6" s="1"/>
  <c r="M236" i="6" s="1"/>
  <c r="K235" i="6"/>
  <c r="L235" i="6" s="1"/>
  <c r="M235" i="6" s="1"/>
  <c r="K234" i="6"/>
  <c r="L234" i="6" s="1"/>
  <c r="M234" i="6" s="1"/>
  <c r="K233" i="6"/>
  <c r="L233" i="6" s="1"/>
  <c r="M233" i="6" s="1"/>
  <c r="K232" i="6"/>
  <c r="L232" i="6" s="1"/>
  <c r="M232" i="6" s="1"/>
  <c r="K231" i="6"/>
  <c r="L231" i="6" s="1"/>
  <c r="M231" i="6" s="1"/>
  <c r="K230" i="6"/>
  <c r="L230" i="6" s="1"/>
  <c r="M230" i="6" s="1"/>
  <c r="K229" i="6"/>
  <c r="L229" i="6" s="1"/>
  <c r="M229" i="6" s="1"/>
  <c r="K228" i="6"/>
  <c r="L228" i="6" s="1"/>
  <c r="M228" i="6" s="1"/>
  <c r="K227" i="6"/>
  <c r="L227" i="6" s="1"/>
  <c r="M227" i="6" s="1"/>
  <c r="K226" i="6"/>
  <c r="L226" i="6" s="1"/>
  <c r="M226" i="6" s="1"/>
  <c r="K225" i="6"/>
  <c r="L225" i="6" s="1"/>
  <c r="M225" i="6" s="1"/>
  <c r="K224" i="6"/>
  <c r="L224" i="6" s="1"/>
  <c r="M224" i="6" s="1"/>
  <c r="K223" i="6"/>
  <c r="L223" i="6" s="1"/>
  <c r="M223" i="6" s="1"/>
  <c r="K222" i="6"/>
  <c r="L222" i="6" s="1"/>
  <c r="M222" i="6" s="1"/>
  <c r="K221" i="6"/>
  <c r="L221" i="6" s="1"/>
  <c r="M221" i="6" s="1"/>
  <c r="K220" i="6"/>
  <c r="L220" i="6" s="1"/>
  <c r="M220" i="6" s="1"/>
  <c r="K219" i="6"/>
  <c r="L219" i="6" s="1"/>
  <c r="M219" i="6" s="1"/>
  <c r="K218" i="6"/>
  <c r="L218" i="6" s="1"/>
  <c r="M218" i="6" s="1"/>
  <c r="K217" i="6"/>
  <c r="L217" i="6" s="1"/>
  <c r="M217" i="6" s="1"/>
  <c r="K216" i="6"/>
  <c r="L216" i="6" s="1"/>
  <c r="M216" i="6" s="1"/>
  <c r="K215" i="6"/>
  <c r="L215" i="6" s="1"/>
  <c r="M215" i="6" s="1"/>
  <c r="K214" i="6"/>
  <c r="L214" i="6" s="1"/>
  <c r="M214" i="6" s="1"/>
  <c r="K213" i="6"/>
  <c r="L213" i="6" s="1"/>
  <c r="M213" i="6" s="1"/>
  <c r="K212" i="6"/>
  <c r="L212" i="6" s="1"/>
  <c r="M212" i="6" s="1"/>
  <c r="K211" i="6"/>
  <c r="L211" i="6" s="1"/>
  <c r="M211" i="6" s="1"/>
  <c r="K210" i="6"/>
  <c r="L210" i="6" s="1"/>
  <c r="M210" i="6" s="1"/>
  <c r="K209" i="6"/>
  <c r="L209" i="6" s="1"/>
  <c r="M209" i="6" s="1"/>
  <c r="K208" i="6"/>
  <c r="L208" i="6" s="1"/>
  <c r="M208" i="6" s="1"/>
  <c r="K207" i="6"/>
  <c r="L207" i="6" s="1"/>
  <c r="M207" i="6" s="1"/>
  <c r="K206" i="6"/>
  <c r="L206" i="6" s="1"/>
  <c r="M206" i="6" s="1"/>
  <c r="K205" i="6"/>
  <c r="L205" i="6" s="1"/>
  <c r="M205" i="6" s="1"/>
  <c r="K204" i="6"/>
  <c r="L204" i="6" s="1"/>
  <c r="M204" i="6" s="1"/>
  <c r="K203" i="6"/>
  <c r="L203" i="6" s="1"/>
  <c r="M203" i="6" s="1"/>
  <c r="K202" i="6"/>
  <c r="L202" i="6" s="1"/>
  <c r="M202" i="6" s="1"/>
  <c r="K201" i="6"/>
  <c r="L201" i="6" s="1"/>
  <c r="M201" i="6" s="1"/>
  <c r="K200" i="6"/>
  <c r="L200" i="6" s="1"/>
  <c r="M200" i="6" s="1"/>
  <c r="K199" i="6"/>
  <c r="L199" i="6" s="1"/>
  <c r="M199" i="6" s="1"/>
  <c r="K198" i="6"/>
  <c r="L198" i="6" s="1"/>
  <c r="M198" i="6" s="1"/>
  <c r="K197" i="6"/>
  <c r="L197" i="6" s="1"/>
  <c r="M197" i="6" s="1"/>
  <c r="K196" i="6"/>
  <c r="L196" i="6" s="1"/>
  <c r="M196" i="6" s="1"/>
  <c r="K195" i="6"/>
  <c r="L195" i="6" s="1"/>
  <c r="M195" i="6" s="1"/>
  <c r="K194" i="6"/>
  <c r="L194" i="6" s="1"/>
  <c r="M194" i="6" s="1"/>
  <c r="K193" i="6"/>
  <c r="L193" i="6" s="1"/>
  <c r="M193" i="6" s="1"/>
  <c r="K192" i="6"/>
  <c r="L192" i="6" s="1"/>
  <c r="M192" i="6" s="1"/>
  <c r="K191" i="6"/>
  <c r="L191" i="6" s="1"/>
  <c r="M191" i="6" s="1"/>
  <c r="K190" i="6"/>
  <c r="L190" i="6" s="1"/>
  <c r="M190" i="6" s="1"/>
  <c r="K189" i="6"/>
  <c r="L189" i="6" s="1"/>
  <c r="M189" i="6" s="1"/>
  <c r="K188" i="6"/>
  <c r="L188" i="6" s="1"/>
  <c r="M188" i="6" s="1"/>
  <c r="K187" i="6"/>
  <c r="L187" i="6" s="1"/>
  <c r="M187" i="6" s="1"/>
  <c r="K186" i="6"/>
  <c r="L186" i="6" s="1"/>
  <c r="M186" i="6" s="1"/>
  <c r="K185" i="6"/>
  <c r="L185" i="6" s="1"/>
  <c r="M185" i="6" s="1"/>
  <c r="K184" i="6"/>
  <c r="L184" i="6" s="1"/>
  <c r="M184" i="6" s="1"/>
  <c r="K183" i="6"/>
  <c r="L183" i="6" s="1"/>
  <c r="M183" i="6" s="1"/>
  <c r="K182" i="6"/>
  <c r="L182" i="6" s="1"/>
  <c r="M182" i="6" s="1"/>
  <c r="K181" i="6"/>
  <c r="L181" i="6" s="1"/>
  <c r="M181" i="6" s="1"/>
  <c r="K180" i="6"/>
  <c r="L180" i="6" s="1"/>
  <c r="M180" i="6" s="1"/>
  <c r="K179" i="6"/>
  <c r="L179" i="6" s="1"/>
  <c r="M179" i="6" s="1"/>
  <c r="K178" i="6"/>
  <c r="L178" i="6" s="1"/>
  <c r="M178" i="6" s="1"/>
  <c r="K177" i="6"/>
  <c r="L177" i="6" s="1"/>
  <c r="M177" i="6" s="1"/>
  <c r="K176" i="6"/>
  <c r="L176" i="6" s="1"/>
  <c r="M176" i="6" s="1"/>
  <c r="K175" i="6"/>
  <c r="L175" i="6" s="1"/>
  <c r="M175" i="6" s="1"/>
  <c r="K174" i="6"/>
  <c r="L174" i="6" s="1"/>
  <c r="M174" i="6" s="1"/>
  <c r="K173" i="6"/>
  <c r="L173" i="6" s="1"/>
  <c r="M173" i="6" s="1"/>
  <c r="K172" i="6"/>
  <c r="L172" i="6" s="1"/>
  <c r="M172" i="6" s="1"/>
  <c r="K171" i="6"/>
  <c r="L171" i="6" s="1"/>
  <c r="M171" i="6" s="1"/>
  <c r="K170" i="6"/>
  <c r="L170" i="6" s="1"/>
  <c r="M170" i="6" s="1"/>
  <c r="K169" i="6"/>
  <c r="L169" i="6" s="1"/>
  <c r="M169" i="6" s="1"/>
  <c r="K168" i="6"/>
  <c r="L168" i="6" s="1"/>
  <c r="M168" i="6" s="1"/>
  <c r="K167" i="6"/>
  <c r="L167" i="6" s="1"/>
  <c r="M167" i="6" s="1"/>
  <c r="K166" i="6"/>
  <c r="L166" i="6" s="1"/>
  <c r="M166" i="6" s="1"/>
  <c r="K165" i="6"/>
  <c r="L165" i="6" s="1"/>
  <c r="M165" i="6" s="1"/>
  <c r="K164" i="6"/>
  <c r="L164" i="6" s="1"/>
  <c r="M164" i="6" s="1"/>
  <c r="K163" i="6"/>
  <c r="L163" i="6" s="1"/>
  <c r="M163" i="6" s="1"/>
  <c r="K162" i="6"/>
  <c r="L162" i="6" s="1"/>
  <c r="M162" i="6" s="1"/>
  <c r="K161" i="6"/>
  <c r="L161" i="6" s="1"/>
  <c r="M161" i="6" s="1"/>
  <c r="K160" i="6"/>
  <c r="L160" i="6" s="1"/>
  <c r="M160" i="6" s="1"/>
  <c r="K159" i="6"/>
  <c r="L159" i="6" s="1"/>
  <c r="M159" i="6" s="1"/>
  <c r="K158" i="6"/>
  <c r="L158" i="6" s="1"/>
  <c r="M158" i="6" s="1"/>
  <c r="K157" i="6"/>
  <c r="L157" i="6" s="1"/>
  <c r="M157" i="6" s="1"/>
  <c r="K156" i="6"/>
  <c r="L156" i="6" s="1"/>
  <c r="M156" i="6" s="1"/>
  <c r="K155" i="6"/>
  <c r="L155" i="6" s="1"/>
  <c r="M155" i="6" s="1"/>
  <c r="K154" i="6"/>
  <c r="L154" i="6" s="1"/>
  <c r="M154" i="6" s="1"/>
  <c r="K153" i="6"/>
  <c r="L153" i="6" s="1"/>
  <c r="M153" i="6" s="1"/>
  <c r="K152" i="6"/>
  <c r="L152" i="6" s="1"/>
  <c r="M152" i="6" s="1"/>
  <c r="K151" i="6"/>
  <c r="L151" i="6" s="1"/>
  <c r="M151" i="6" s="1"/>
  <c r="K150" i="6"/>
  <c r="L150" i="6" s="1"/>
  <c r="M150" i="6" s="1"/>
  <c r="K149" i="6"/>
  <c r="L149" i="6" s="1"/>
  <c r="M149" i="6" s="1"/>
  <c r="K148" i="6"/>
  <c r="L148" i="6" s="1"/>
  <c r="M148" i="6" s="1"/>
  <c r="K147" i="6"/>
  <c r="L147" i="6" s="1"/>
  <c r="M147" i="6" s="1"/>
  <c r="K146" i="6"/>
  <c r="L146" i="6" s="1"/>
  <c r="M146" i="6" s="1"/>
  <c r="K145" i="6"/>
  <c r="L145" i="6" s="1"/>
  <c r="M145" i="6" s="1"/>
  <c r="K144" i="6"/>
  <c r="L144" i="6" s="1"/>
  <c r="M144" i="6" s="1"/>
  <c r="K143" i="6"/>
  <c r="L143" i="6" s="1"/>
  <c r="M143" i="6" s="1"/>
  <c r="K142" i="6"/>
  <c r="L142" i="6" s="1"/>
  <c r="M142" i="6" s="1"/>
  <c r="K141" i="6"/>
  <c r="L141" i="6" s="1"/>
  <c r="M141" i="6" s="1"/>
  <c r="K140" i="6"/>
  <c r="L140" i="6" s="1"/>
  <c r="M140" i="6" s="1"/>
  <c r="K139" i="6"/>
  <c r="L139" i="6" s="1"/>
  <c r="M139" i="6" s="1"/>
  <c r="K138" i="6"/>
  <c r="L138" i="6" s="1"/>
  <c r="M138" i="6" s="1"/>
  <c r="K137" i="6"/>
  <c r="L137" i="6" s="1"/>
  <c r="M137" i="6" s="1"/>
  <c r="K136" i="6"/>
  <c r="L136" i="6" s="1"/>
  <c r="M136" i="6" s="1"/>
  <c r="K135" i="6"/>
  <c r="L135" i="6" s="1"/>
  <c r="M135" i="6" s="1"/>
  <c r="K134" i="6"/>
  <c r="L134" i="6" s="1"/>
  <c r="M134" i="6" s="1"/>
  <c r="K133" i="6"/>
  <c r="L133" i="6" s="1"/>
  <c r="M133" i="6" s="1"/>
  <c r="K132" i="6"/>
  <c r="L132" i="6" s="1"/>
  <c r="M132" i="6" s="1"/>
  <c r="K131" i="6"/>
  <c r="L131" i="6" s="1"/>
  <c r="M131" i="6" s="1"/>
  <c r="K130" i="6"/>
  <c r="L130" i="6" s="1"/>
  <c r="M130" i="6" s="1"/>
  <c r="K129" i="6"/>
  <c r="L129" i="6" s="1"/>
  <c r="M129" i="6" s="1"/>
  <c r="K128" i="6"/>
  <c r="L128" i="6" s="1"/>
  <c r="M128" i="6" s="1"/>
  <c r="K127" i="6"/>
  <c r="L127" i="6" s="1"/>
  <c r="M127" i="6" s="1"/>
  <c r="K126" i="6"/>
  <c r="L126" i="6" s="1"/>
  <c r="M126" i="6" s="1"/>
  <c r="K125" i="6"/>
  <c r="L125" i="6" s="1"/>
  <c r="M125" i="6" s="1"/>
  <c r="K124" i="6"/>
  <c r="L124" i="6" s="1"/>
  <c r="M124" i="6" s="1"/>
  <c r="K123" i="6"/>
  <c r="L123" i="6" s="1"/>
  <c r="M123" i="6" s="1"/>
  <c r="K122" i="6"/>
  <c r="L122" i="6" s="1"/>
  <c r="M122" i="6" s="1"/>
  <c r="K121" i="6"/>
  <c r="L121" i="6" s="1"/>
  <c r="M121" i="6" s="1"/>
  <c r="K120" i="6"/>
  <c r="L120" i="6" s="1"/>
  <c r="M120" i="6" s="1"/>
  <c r="K119" i="6"/>
  <c r="L119" i="6" s="1"/>
  <c r="M119" i="6" s="1"/>
  <c r="K118" i="6"/>
  <c r="L118" i="6" s="1"/>
  <c r="M118" i="6" s="1"/>
  <c r="K117" i="6"/>
  <c r="L117" i="6" s="1"/>
  <c r="M117" i="6" s="1"/>
  <c r="K116" i="6"/>
  <c r="L116" i="6" s="1"/>
  <c r="M116" i="6" s="1"/>
  <c r="K115" i="6"/>
  <c r="L115" i="6" s="1"/>
  <c r="M115" i="6" s="1"/>
  <c r="K114" i="6"/>
  <c r="L114" i="6" s="1"/>
  <c r="M114" i="6" s="1"/>
  <c r="K113" i="6"/>
  <c r="L113" i="6" s="1"/>
  <c r="M113" i="6" s="1"/>
  <c r="K112" i="6"/>
  <c r="L112" i="6" s="1"/>
  <c r="M112" i="6" s="1"/>
  <c r="K111" i="6"/>
  <c r="L111" i="6" s="1"/>
  <c r="M111" i="6" s="1"/>
  <c r="K110" i="6"/>
  <c r="L110" i="6" s="1"/>
  <c r="M110" i="6" s="1"/>
  <c r="K109" i="6"/>
  <c r="L109" i="6" s="1"/>
  <c r="M109" i="6" s="1"/>
  <c r="K108" i="6"/>
  <c r="L108" i="6" s="1"/>
  <c r="M108" i="6" s="1"/>
  <c r="K107" i="6"/>
  <c r="L107" i="6" s="1"/>
  <c r="M107" i="6" s="1"/>
  <c r="K106" i="6"/>
  <c r="L106" i="6" s="1"/>
  <c r="M106" i="6" s="1"/>
  <c r="K105" i="6"/>
  <c r="L105" i="6" s="1"/>
  <c r="M105" i="6" s="1"/>
  <c r="K104" i="6"/>
  <c r="L104" i="6" s="1"/>
  <c r="M104" i="6" s="1"/>
  <c r="K103" i="6"/>
  <c r="L103" i="6" s="1"/>
  <c r="M103" i="6" s="1"/>
  <c r="K102" i="6"/>
  <c r="L102" i="6" s="1"/>
  <c r="M102" i="6" s="1"/>
  <c r="K101" i="6"/>
  <c r="L101" i="6" s="1"/>
  <c r="M101" i="6" s="1"/>
  <c r="K100" i="6"/>
  <c r="L100" i="6" s="1"/>
  <c r="M100" i="6" s="1"/>
  <c r="K99" i="6"/>
  <c r="L99" i="6" s="1"/>
  <c r="M99" i="6" s="1"/>
  <c r="K98" i="6"/>
  <c r="L98" i="6" s="1"/>
  <c r="M98" i="6" s="1"/>
  <c r="K97" i="6"/>
  <c r="L97" i="6" s="1"/>
  <c r="M97" i="6" s="1"/>
  <c r="K96" i="6"/>
  <c r="L96" i="6" s="1"/>
  <c r="M96" i="6" s="1"/>
  <c r="K95" i="6"/>
  <c r="L95" i="6" s="1"/>
  <c r="M95" i="6" s="1"/>
  <c r="K94" i="6"/>
  <c r="L94" i="6" s="1"/>
  <c r="M94" i="6" s="1"/>
  <c r="K93" i="6"/>
  <c r="L93" i="6" s="1"/>
  <c r="M93" i="6" s="1"/>
  <c r="K92" i="6"/>
  <c r="L92" i="6" s="1"/>
  <c r="M92" i="6" s="1"/>
  <c r="K91" i="6"/>
  <c r="L91" i="6" s="1"/>
  <c r="M91" i="6" s="1"/>
  <c r="K90" i="6"/>
  <c r="L90" i="6" s="1"/>
  <c r="M90" i="6" s="1"/>
  <c r="K89" i="6"/>
  <c r="L89" i="6" s="1"/>
  <c r="M89" i="6" s="1"/>
  <c r="K88" i="6"/>
  <c r="L88" i="6" s="1"/>
  <c r="M88" i="6" s="1"/>
  <c r="K87" i="6"/>
  <c r="L87" i="6" s="1"/>
  <c r="M87" i="6" s="1"/>
  <c r="K86" i="6"/>
  <c r="L86" i="6" s="1"/>
  <c r="M86" i="6" s="1"/>
  <c r="K85" i="6"/>
  <c r="L85" i="6" s="1"/>
  <c r="M85" i="6" s="1"/>
  <c r="K84" i="6"/>
  <c r="L84" i="6" s="1"/>
  <c r="M84" i="6" s="1"/>
  <c r="K83" i="6"/>
  <c r="L83" i="6" s="1"/>
  <c r="M83" i="6" s="1"/>
  <c r="K82" i="6"/>
  <c r="L82" i="6" s="1"/>
  <c r="M82" i="6" s="1"/>
  <c r="K81" i="6"/>
  <c r="L81" i="6" s="1"/>
  <c r="M81" i="6" s="1"/>
  <c r="K80" i="6"/>
  <c r="L80" i="6" s="1"/>
  <c r="M80" i="6" s="1"/>
  <c r="K79" i="6"/>
  <c r="L79" i="6" s="1"/>
  <c r="M79" i="6" s="1"/>
  <c r="K78" i="6"/>
  <c r="L78" i="6" s="1"/>
  <c r="M78" i="6" s="1"/>
  <c r="K77" i="6"/>
  <c r="L77" i="6" s="1"/>
  <c r="M77" i="6" s="1"/>
  <c r="K76" i="6"/>
  <c r="L76" i="6" s="1"/>
  <c r="M76" i="6" s="1"/>
  <c r="K75" i="6"/>
  <c r="L75" i="6" s="1"/>
  <c r="M75" i="6" s="1"/>
  <c r="K74" i="6"/>
  <c r="L74" i="6" s="1"/>
  <c r="M74" i="6" s="1"/>
  <c r="K73" i="6"/>
  <c r="L73" i="6" s="1"/>
  <c r="M73" i="6" s="1"/>
  <c r="K72" i="6"/>
  <c r="L72" i="6" s="1"/>
  <c r="M72" i="6" s="1"/>
  <c r="K71" i="6"/>
  <c r="L71" i="6" s="1"/>
  <c r="M71" i="6" s="1"/>
  <c r="K70" i="6"/>
  <c r="L70" i="6" s="1"/>
  <c r="M70" i="6" s="1"/>
  <c r="K69" i="6"/>
  <c r="L69" i="6" s="1"/>
  <c r="M69" i="6" s="1"/>
  <c r="K68" i="6"/>
  <c r="L68" i="6" s="1"/>
  <c r="M68" i="6" s="1"/>
  <c r="K67" i="6"/>
  <c r="L67" i="6" s="1"/>
  <c r="M67" i="6" s="1"/>
  <c r="K66" i="6"/>
  <c r="L66" i="6" s="1"/>
  <c r="M66" i="6" s="1"/>
  <c r="K65" i="6"/>
  <c r="L65" i="6" s="1"/>
  <c r="M65" i="6" s="1"/>
  <c r="K64" i="6"/>
  <c r="L64" i="6" s="1"/>
  <c r="M64" i="6" s="1"/>
  <c r="K63" i="6"/>
  <c r="L63" i="6" s="1"/>
  <c r="M63" i="6" s="1"/>
  <c r="K62" i="6"/>
  <c r="L62" i="6" s="1"/>
  <c r="M62" i="6" s="1"/>
  <c r="K61" i="6"/>
  <c r="L61" i="6" s="1"/>
  <c r="M61" i="6" s="1"/>
  <c r="K60" i="6"/>
  <c r="L60" i="6" s="1"/>
  <c r="M60" i="6" s="1"/>
  <c r="K59" i="6"/>
  <c r="L59" i="6" s="1"/>
  <c r="M59" i="6" s="1"/>
  <c r="K58" i="6"/>
  <c r="L58" i="6" s="1"/>
  <c r="M58" i="6" s="1"/>
  <c r="K57" i="6"/>
  <c r="L57" i="6" s="1"/>
  <c r="M57" i="6" s="1"/>
  <c r="K56" i="6"/>
  <c r="L56" i="6" s="1"/>
  <c r="M56" i="6" s="1"/>
  <c r="K55" i="6"/>
  <c r="L55" i="6" s="1"/>
  <c r="M55" i="6" s="1"/>
  <c r="K54" i="6"/>
  <c r="L54" i="6" s="1"/>
  <c r="M54" i="6" s="1"/>
  <c r="K53" i="6"/>
  <c r="L53" i="6" s="1"/>
  <c r="M53" i="6" s="1"/>
  <c r="K52" i="6"/>
  <c r="L52" i="6" s="1"/>
  <c r="M52" i="6" s="1"/>
  <c r="K51" i="6"/>
  <c r="L51" i="6" s="1"/>
  <c r="M51" i="6" s="1"/>
  <c r="K50" i="6"/>
  <c r="L50" i="6" s="1"/>
  <c r="M50" i="6" s="1"/>
  <c r="K49" i="6"/>
  <c r="L49" i="6" s="1"/>
  <c r="M49" i="6" s="1"/>
  <c r="K48" i="6"/>
  <c r="L48" i="6" s="1"/>
  <c r="M48" i="6" s="1"/>
  <c r="K47" i="6"/>
  <c r="L47" i="6" s="1"/>
  <c r="M47" i="6" s="1"/>
  <c r="K46" i="6"/>
  <c r="L46" i="6" s="1"/>
  <c r="M46" i="6" s="1"/>
  <c r="K45" i="6"/>
  <c r="L45" i="6" s="1"/>
  <c r="M45" i="6" s="1"/>
  <c r="K44" i="6"/>
  <c r="L44" i="6" s="1"/>
  <c r="M44" i="6" s="1"/>
  <c r="K43" i="6"/>
  <c r="L43" i="6" s="1"/>
  <c r="M43" i="6" s="1"/>
  <c r="K42" i="6"/>
  <c r="L42" i="6" s="1"/>
  <c r="M42" i="6" s="1"/>
  <c r="K41" i="6"/>
  <c r="L41" i="6" s="1"/>
  <c r="M41" i="6" s="1"/>
  <c r="K40" i="6"/>
  <c r="L40" i="6" s="1"/>
  <c r="M40" i="6" s="1"/>
  <c r="K39" i="6"/>
  <c r="L39" i="6" s="1"/>
  <c r="M39" i="6" s="1"/>
  <c r="K38" i="6"/>
  <c r="L38" i="6" s="1"/>
  <c r="M38" i="6" s="1"/>
  <c r="K37" i="6"/>
  <c r="L37" i="6" s="1"/>
  <c r="M37" i="6" s="1"/>
  <c r="K36" i="6"/>
  <c r="L36" i="6" s="1"/>
  <c r="M36" i="6" s="1"/>
  <c r="K35" i="6"/>
  <c r="L35" i="6" s="1"/>
  <c r="M35" i="6" s="1"/>
  <c r="K34" i="6"/>
  <c r="L34" i="6" s="1"/>
  <c r="M34" i="6" s="1"/>
  <c r="K33" i="6"/>
  <c r="L33" i="6" s="1"/>
  <c r="M33" i="6" s="1"/>
  <c r="K32" i="6"/>
  <c r="L32" i="6" s="1"/>
  <c r="M32" i="6" s="1"/>
  <c r="K31" i="6"/>
  <c r="L31" i="6" s="1"/>
  <c r="M31" i="6" s="1"/>
  <c r="K30" i="6"/>
  <c r="L30" i="6" s="1"/>
  <c r="M30" i="6" s="1"/>
  <c r="K29" i="6"/>
  <c r="L29" i="6" s="1"/>
  <c r="M29" i="6" s="1"/>
  <c r="K28" i="6"/>
  <c r="L28" i="6" s="1"/>
  <c r="M28" i="6" s="1"/>
  <c r="K27" i="6"/>
  <c r="L27" i="6" s="1"/>
  <c r="M27" i="6" s="1"/>
  <c r="L26" i="6"/>
  <c r="M26" i="6" s="1"/>
  <c r="K26" i="6"/>
  <c r="K25" i="6"/>
  <c r="L25" i="6" s="1"/>
  <c r="M25" i="6" s="1"/>
  <c r="K24" i="6"/>
  <c r="L24" i="6" s="1"/>
  <c r="M24" i="6" s="1"/>
  <c r="K23" i="6"/>
  <c r="L23" i="6" s="1"/>
  <c r="M23" i="6" s="1"/>
  <c r="K22" i="6"/>
  <c r="L22" i="6" s="1"/>
  <c r="M22" i="6" s="1"/>
  <c r="K21" i="6"/>
  <c r="L21" i="6" s="1"/>
  <c r="M21" i="6" s="1"/>
  <c r="K20" i="6"/>
  <c r="L20" i="6" s="1"/>
  <c r="M20" i="6" s="1"/>
  <c r="K19" i="6"/>
  <c r="L19" i="6" s="1"/>
  <c r="M19" i="6" s="1"/>
  <c r="K18" i="6"/>
  <c r="L18" i="6" s="1"/>
  <c r="M18" i="6" s="1"/>
  <c r="K17" i="6"/>
  <c r="L17" i="6" s="1"/>
  <c r="M17" i="6" s="1"/>
  <c r="K16" i="6"/>
  <c r="L16" i="6" s="1"/>
  <c r="M16" i="6" s="1"/>
  <c r="K15" i="6"/>
  <c r="L15" i="6" s="1"/>
  <c r="M15" i="6" s="1"/>
  <c r="K14" i="6"/>
  <c r="M14" i="6" s="1"/>
  <c r="K13" i="6"/>
  <c r="L13" i="6" s="1"/>
  <c r="M13" i="6" s="1"/>
  <c r="K12" i="6"/>
  <c r="L12" i="6" s="1"/>
  <c r="M12" i="6" s="1"/>
  <c r="K11" i="6"/>
  <c r="L11" i="6" s="1"/>
  <c r="M11" i="6" s="1"/>
  <c r="K10" i="6"/>
  <c r="L10" i="6" s="1"/>
  <c r="M10" i="6" s="1"/>
  <c r="K9" i="6"/>
  <c r="L9" i="6" s="1"/>
  <c r="M9" i="6" s="1"/>
  <c r="K8" i="6"/>
  <c r="L8" i="6" s="1"/>
  <c r="M8" i="6" s="1"/>
  <c r="K7" i="6"/>
  <c r="L7" i="6" s="1"/>
  <c r="M7" i="6" s="1"/>
  <c r="K6" i="6"/>
  <c r="L6" i="6" s="1"/>
  <c r="M6" i="6" s="1"/>
  <c r="G795" i="2"/>
  <c r="F795" i="2"/>
  <c r="G794" i="2"/>
  <c r="F794" i="2"/>
  <c r="G793" i="2"/>
  <c r="F793" i="2"/>
  <c r="G792" i="2"/>
  <c r="F792" i="2"/>
  <c r="G791" i="2"/>
  <c r="F791" i="2"/>
  <c r="G790" i="2"/>
  <c r="F790" i="2"/>
  <c r="G789" i="2"/>
  <c r="F789" i="2"/>
  <c r="G788" i="2"/>
  <c r="F788" i="2"/>
  <c r="G787" i="2"/>
  <c r="F787" i="2"/>
  <c r="G786" i="2"/>
  <c r="F786" i="2"/>
  <c r="G785" i="2"/>
  <c r="F785" i="2"/>
  <c r="G784" i="2"/>
  <c r="F784" i="2"/>
  <c r="G783" i="2"/>
  <c r="F783" i="2"/>
  <c r="G782" i="2"/>
  <c r="F782" i="2"/>
  <c r="G781" i="2"/>
  <c r="F781" i="2"/>
  <c r="G780" i="2"/>
  <c r="F780" i="2"/>
  <c r="G779" i="2"/>
  <c r="F779" i="2"/>
  <c r="G778" i="2"/>
  <c r="F778" i="2"/>
  <c r="G777" i="2"/>
  <c r="F777" i="2"/>
  <c r="G776" i="2"/>
  <c r="F776" i="2"/>
  <c r="G775" i="2"/>
  <c r="F775" i="2"/>
  <c r="G774" i="2"/>
  <c r="F774" i="2"/>
  <c r="G773" i="2"/>
  <c r="F773" i="2"/>
  <c r="G772" i="2"/>
  <c r="F772" i="2"/>
  <c r="G771" i="2"/>
  <c r="F771" i="2"/>
  <c r="G770" i="2"/>
  <c r="F770" i="2"/>
  <c r="G769" i="2"/>
  <c r="F769" i="2"/>
  <c r="G768" i="2"/>
  <c r="F768" i="2"/>
  <c r="G767" i="2"/>
  <c r="F767" i="2"/>
  <c r="G766" i="2"/>
  <c r="F766" i="2"/>
  <c r="G765" i="2"/>
  <c r="F765" i="2"/>
  <c r="G764" i="2"/>
  <c r="F764" i="2"/>
  <c r="G763" i="2"/>
  <c r="F763" i="2"/>
  <c r="G762" i="2"/>
  <c r="F762" i="2"/>
  <c r="G761" i="2"/>
  <c r="F761" i="2"/>
  <c r="G760" i="2"/>
  <c r="F760" i="2"/>
  <c r="G759" i="2"/>
  <c r="F759" i="2"/>
  <c r="G758" i="2"/>
  <c r="F758" i="2"/>
  <c r="G757" i="2"/>
  <c r="F757" i="2"/>
  <c r="G756" i="2"/>
  <c r="F756" i="2"/>
  <c r="G755" i="2"/>
  <c r="F755" i="2"/>
  <c r="G754" i="2"/>
  <c r="F754" i="2"/>
  <c r="G753" i="2"/>
  <c r="F753" i="2"/>
  <c r="G752" i="2"/>
  <c r="F752" i="2"/>
  <c r="G751" i="2"/>
  <c r="F751" i="2"/>
  <c r="G750" i="2"/>
  <c r="F750" i="2"/>
  <c r="G749" i="2"/>
  <c r="F749" i="2"/>
  <c r="G748" i="2"/>
  <c r="F748" i="2"/>
  <c r="G747" i="2"/>
  <c r="F747" i="2"/>
  <c r="G746" i="2"/>
  <c r="F746" i="2"/>
  <c r="G745" i="2"/>
  <c r="F745" i="2"/>
  <c r="G744" i="2"/>
  <c r="F744" i="2"/>
  <c r="G743" i="2"/>
  <c r="F743" i="2"/>
  <c r="G742" i="2"/>
  <c r="F742" i="2"/>
  <c r="G741" i="2"/>
  <c r="F741" i="2"/>
  <c r="G740" i="2"/>
  <c r="F740" i="2"/>
  <c r="G739" i="2"/>
  <c r="F739" i="2"/>
  <c r="G738" i="2"/>
  <c r="F738" i="2"/>
  <c r="G737" i="2"/>
  <c r="F737" i="2"/>
  <c r="G736" i="2"/>
  <c r="F736" i="2"/>
  <c r="G735" i="2"/>
  <c r="F735" i="2"/>
  <c r="G734" i="2"/>
  <c r="F734" i="2"/>
  <c r="G733" i="2"/>
  <c r="F733" i="2"/>
  <c r="G732" i="2"/>
  <c r="F732" i="2"/>
  <c r="G731" i="2"/>
  <c r="F731" i="2"/>
  <c r="G730" i="2"/>
  <c r="F730" i="2"/>
  <c r="G729" i="2"/>
  <c r="F729" i="2"/>
  <c r="G728" i="2"/>
  <c r="F728" i="2"/>
  <c r="G727" i="2"/>
  <c r="F727" i="2"/>
  <c r="G726" i="2"/>
  <c r="F726" i="2"/>
  <c r="G725" i="2"/>
  <c r="F725" i="2"/>
  <c r="G724" i="2"/>
  <c r="F724" i="2"/>
  <c r="G723" i="2"/>
  <c r="F723" i="2"/>
  <c r="G722" i="2"/>
  <c r="F722" i="2"/>
  <c r="G721" i="2"/>
  <c r="F721" i="2"/>
  <c r="G720" i="2"/>
  <c r="F720" i="2"/>
  <c r="G719" i="2"/>
  <c r="F719" i="2"/>
  <c r="G718" i="2"/>
  <c r="F718" i="2"/>
  <c r="G717" i="2"/>
  <c r="F717" i="2"/>
  <c r="G716" i="2"/>
  <c r="F716" i="2"/>
  <c r="G715" i="2"/>
  <c r="F715" i="2"/>
  <c r="G714" i="2"/>
  <c r="F714" i="2"/>
  <c r="G713" i="2"/>
  <c r="F713" i="2"/>
  <c r="G712" i="2"/>
  <c r="F712" i="2"/>
  <c r="G711" i="2"/>
  <c r="F711" i="2"/>
  <c r="G710" i="2"/>
  <c r="F710" i="2"/>
  <c r="G709" i="2"/>
  <c r="F709" i="2"/>
  <c r="G708" i="2"/>
  <c r="F708" i="2"/>
  <c r="G707" i="2"/>
  <c r="F707" i="2"/>
  <c r="G706" i="2"/>
  <c r="F706" i="2"/>
  <c r="G705" i="2"/>
  <c r="F705" i="2"/>
  <c r="G704" i="2"/>
  <c r="F704" i="2"/>
  <c r="G703" i="2"/>
  <c r="F703" i="2"/>
  <c r="G702" i="2"/>
  <c r="F702" i="2"/>
  <c r="G701" i="2"/>
  <c r="F701" i="2"/>
  <c r="G700" i="2"/>
  <c r="F700" i="2"/>
  <c r="G699" i="2"/>
  <c r="F699" i="2"/>
  <c r="G698" i="2"/>
  <c r="F698" i="2"/>
  <c r="G697" i="2"/>
  <c r="F697" i="2"/>
  <c r="G696" i="2"/>
  <c r="F696" i="2"/>
  <c r="G695" i="2"/>
  <c r="F695" i="2"/>
  <c r="G694" i="2"/>
  <c r="F694" i="2"/>
  <c r="G693" i="2"/>
  <c r="F693" i="2"/>
  <c r="G692" i="2"/>
  <c r="F692" i="2"/>
  <c r="G691" i="2"/>
  <c r="F691" i="2"/>
  <c r="G690" i="2"/>
  <c r="F690" i="2"/>
  <c r="G689" i="2"/>
  <c r="F689" i="2"/>
  <c r="G688" i="2"/>
  <c r="F688" i="2"/>
  <c r="G687" i="2"/>
  <c r="F687" i="2"/>
  <c r="G686" i="2"/>
  <c r="F686" i="2"/>
  <c r="G685" i="2"/>
  <c r="F685" i="2"/>
  <c r="G684" i="2"/>
  <c r="F684" i="2"/>
  <c r="G683" i="2"/>
  <c r="F683" i="2"/>
  <c r="G682" i="2"/>
  <c r="F682" i="2"/>
  <c r="G681" i="2"/>
  <c r="F681" i="2"/>
  <c r="G680" i="2"/>
  <c r="F680" i="2"/>
  <c r="G679" i="2"/>
  <c r="F679" i="2"/>
  <c r="G678" i="2"/>
  <c r="F678" i="2"/>
  <c r="G677" i="2"/>
  <c r="F677" i="2"/>
  <c r="G676" i="2"/>
  <c r="F676" i="2"/>
  <c r="G675" i="2"/>
  <c r="F675" i="2"/>
  <c r="G674" i="2"/>
  <c r="F674" i="2"/>
  <c r="G673" i="2"/>
  <c r="F673" i="2"/>
  <c r="G672" i="2"/>
  <c r="F672" i="2"/>
  <c r="G671" i="2"/>
  <c r="F671" i="2"/>
  <c r="G670" i="2"/>
  <c r="F670" i="2"/>
  <c r="G669" i="2"/>
  <c r="F669" i="2"/>
  <c r="G668" i="2"/>
  <c r="F668" i="2"/>
  <c r="G667" i="2"/>
  <c r="F667" i="2"/>
  <c r="G666" i="2"/>
  <c r="F666" i="2"/>
  <c r="G665" i="2"/>
  <c r="F665" i="2"/>
  <c r="G664" i="2"/>
  <c r="F664" i="2"/>
  <c r="G663" i="2"/>
  <c r="F663" i="2"/>
  <c r="G662" i="2"/>
  <c r="F662" i="2"/>
  <c r="G661" i="2"/>
  <c r="F661" i="2"/>
  <c r="G660" i="2"/>
  <c r="F660" i="2"/>
  <c r="G659" i="2"/>
  <c r="F659" i="2"/>
  <c r="G658" i="2"/>
  <c r="F658" i="2"/>
  <c r="G657" i="2"/>
  <c r="F657" i="2"/>
  <c r="G656" i="2"/>
  <c r="F656" i="2"/>
  <c r="G655" i="2"/>
  <c r="F655" i="2"/>
  <c r="G654" i="2"/>
  <c r="F654" i="2"/>
  <c r="G653" i="2"/>
  <c r="F653" i="2"/>
  <c r="G652" i="2"/>
  <c r="F652" i="2"/>
  <c r="G651" i="2"/>
  <c r="F651" i="2"/>
  <c r="G650" i="2"/>
  <c r="F650" i="2"/>
  <c r="G649" i="2"/>
  <c r="F649" i="2"/>
  <c r="G648" i="2"/>
  <c r="F648" i="2"/>
  <c r="G647" i="2"/>
  <c r="F647" i="2"/>
  <c r="G646" i="2"/>
  <c r="F646" i="2"/>
  <c r="G645" i="2"/>
  <c r="F645" i="2"/>
  <c r="G644" i="2"/>
  <c r="F644" i="2"/>
  <c r="G643" i="2"/>
  <c r="F643" i="2"/>
  <c r="G642" i="2"/>
  <c r="F642" i="2"/>
  <c r="G641" i="2"/>
  <c r="F641" i="2"/>
  <c r="G640" i="2"/>
  <c r="F640" i="2"/>
  <c r="G639" i="2"/>
  <c r="F639" i="2"/>
  <c r="G638" i="2"/>
  <c r="F638" i="2"/>
  <c r="G637" i="2"/>
  <c r="F637" i="2"/>
  <c r="G636" i="2"/>
  <c r="F636" i="2"/>
  <c r="G635" i="2"/>
  <c r="F635" i="2"/>
  <c r="G634" i="2"/>
  <c r="F634" i="2"/>
  <c r="G633" i="2"/>
  <c r="F633" i="2"/>
  <c r="G632" i="2"/>
  <c r="F632" i="2"/>
  <c r="G631" i="2"/>
  <c r="F631" i="2"/>
  <c r="G630" i="2"/>
  <c r="F630" i="2"/>
  <c r="G629" i="2"/>
  <c r="F629" i="2"/>
  <c r="G628" i="2"/>
  <c r="F628" i="2"/>
  <c r="G627" i="2"/>
  <c r="F627" i="2"/>
  <c r="G626" i="2"/>
  <c r="F626" i="2"/>
  <c r="G625" i="2"/>
  <c r="F625" i="2"/>
  <c r="G624" i="2"/>
  <c r="F624" i="2"/>
  <c r="G623" i="2"/>
  <c r="F623" i="2"/>
  <c r="G622" i="2"/>
  <c r="F622" i="2"/>
  <c r="G621" i="2"/>
  <c r="F621" i="2"/>
  <c r="G620" i="2"/>
  <c r="F620" i="2"/>
  <c r="G619" i="2"/>
  <c r="F619" i="2"/>
  <c r="G618" i="2"/>
  <c r="F618" i="2"/>
  <c r="G617" i="2"/>
  <c r="F617" i="2"/>
  <c r="G616" i="2"/>
  <c r="F616" i="2"/>
  <c r="G615" i="2"/>
  <c r="F615" i="2"/>
  <c r="G614" i="2"/>
  <c r="F614" i="2"/>
  <c r="G613" i="2"/>
  <c r="F613" i="2"/>
  <c r="G612" i="2"/>
  <c r="F612" i="2"/>
  <c r="G611" i="2"/>
  <c r="F611" i="2"/>
  <c r="G610" i="2"/>
  <c r="F610" i="2"/>
  <c r="G609" i="2"/>
  <c r="F609" i="2"/>
  <c r="G608" i="2"/>
  <c r="F608" i="2"/>
  <c r="G607" i="2"/>
  <c r="F607" i="2"/>
  <c r="G606" i="2"/>
  <c r="F606" i="2"/>
  <c r="G605" i="2"/>
  <c r="F605" i="2"/>
  <c r="G604" i="2"/>
  <c r="F604" i="2"/>
  <c r="G603" i="2"/>
  <c r="F603" i="2"/>
  <c r="G602" i="2"/>
  <c r="F602" i="2"/>
  <c r="G601" i="2"/>
  <c r="F601" i="2"/>
  <c r="G600" i="2"/>
  <c r="F600" i="2"/>
  <c r="G599" i="2"/>
  <c r="F599" i="2"/>
  <c r="G598" i="2"/>
  <c r="F598" i="2"/>
  <c r="G597" i="2"/>
  <c r="F597" i="2"/>
  <c r="G596" i="2"/>
  <c r="F596" i="2"/>
  <c r="G595" i="2"/>
  <c r="F595" i="2"/>
  <c r="G594" i="2"/>
  <c r="F594" i="2"/>
  <c r="G593" i="2"/>
  <c r="F593" i="2"/>
  <c r="G592" i="2"/>
  <c r="F592" i="2"/>
  <c r="G591" i="2"/>
  <c r="F591" i="2"/>
  <c r="G590" i="2"/>
  <c r="F590" i="2"/>
  <c r="G589" i="2"/>
  <c r="F589" i="2"/>
  <c r="G588" i="2"/>
  <c r="F588" i="2"/>
  <c r="G587" i="2"/>
  <c r="F587" i="2"/>
  <c r="G586" i="2"/>
  <c r="F586" i="2"/>
  <c r="G585" i="2"/>
  <c r="F585" i="2"/>
  <c r="G584" i="2"/>
  <c r="F584" i="2"/>
  <c r="G583" i="2"/>
  <c r="F583" i="2"/>
  <c r="G582" i="2"/>
  <c r="F582" i="2"/>
  <c r="G581" i="2"/>
  <c r="F581" i="2"/>
  <c r="G580" i="2"/>
  <c r="F580" i="2"/>
  <c r="G579" i="2"/>
  <c r="F579" i="2"/>
  <c r="G578" i="2"/>
  <c r="F578" i="2"/>
  <c r="G577" i="2"/>
  <c r="F577" i="2"/>
  <c r="G576" i="2"/>
  <c r="F576" i="2"/>
  <c r="G575" i="2"/>
  <c r="F575" i="2"/>
  <c r="G574" i="2"/>
  <c r="F574" i="2"/>
  <c r="G573" i="2"/>
  <c r="F573" i="2"/>
  <c r="G572" i="2"/>
  <c r="F572" i="2"/>
  <c r="G571" i="2"/>
  <c r="F571" i="2"/>
  <c r="G570" i="2"/>
  <c r="F570" i="2"/>
  <c r="G569" i="2"/>
  <c r="F569" i="2"/>
  <c r="G568" i="2"/>
  <c r="F568" i="2"/>
  <c r="G567" i="2"/>
  <c r="F567" i="2"/>
  <c r="G566" i="2"/>
  <c r="F566" i="2"/>
  <c r="G565" i="2"/>
  <c r="F565" i="2"/>
  <c r="G564" i="2"/>
  <c r="F564" i="2"/>
  <c r="G563" i="2"/>
  <c r="F563" i="2"/>
  <c r="G562" i="2"/>
  <c r="F562" i="2"/>
  <c r="G561" i="2"/>
  <c r="F561" i="2"/>
  <c r="G560" i="2"/>
  <c r="F560" i="2"/>
  <c r="G559" i="2"/>
  <c r="F559" i="2"/>
  <c r="G558" i="2"/>
  <c r="F558" i="2"/>
  <c r="G557" i="2"/>
  <c r="F557" i="2"/>
  <c r="G556" i="2"/>
  <c r="F556" i="2"/>
  <c r="G555" i="2"/>
  <c r="F555" i="2"/>
  <c r="G554" i="2"/>
  <c r="F554" i="2"/>
  <c r="G553" i="2"/>
  <c r="F553" i="2"/>
  <c r="G552" i="2"/>
  <c r="F552" i="2"/>
  <c r="G551" i="2"/>
  <c r="F551" i="2"/>
  <c r="G550" i="2"/>
  <c r="F550" i="2"/>
  <c r="G549" i="2"/>
  <c r="F549" i="2"/>
  <c r="G548" i="2"/>
  <c r="F548" i="2"/>
  <c r="G547" i="2"/>
  <c r="F547" i="2"/>
  <c r="G546" i="2"/>
  <c r="F546" i="2"/>
  <c r="G545" i="2"/>
  <c r="F545" i="2"/>
  <c r="G544" i="2"/>
  <c r="F544" i="2"/>
  <c r="G543" i="2"/>
  <c r="F543" i="2"/>
  <c r="G542" i="2"/>
  <c r="F542" i="2"/>
  <c r="G541" i="2"/>
  <c r="F541" i="2"/>
  <c r="G540" i="2"/>
  <c r="F540" i="2"/>
  <c r="G539" i="2"/>
  <c r="F539" i="2"/>
  <c r="G538" i="2"/>
  <c r="F538" i="2"/>
  <c r="G537" i="2"/>
  <c r="F537" i="2"/>
  <c r="G536" i="2"/>
  <c r="F536" i="2"/>
  <c r="G535" i="2"/>
  <c r="F535" i="2"/>
  <c r="G534" i="2"/>
  <c r="F534" i="2"/>
  <c r="G533" i="2"/>
  <c r="F533" i="2"/>
  <c r="G532" i="2"/>
  <c r="F532" i="2"/>
  <c r="G531" i="2"/>
  <c r="F531" i="2"/>
  <c r="G530" i="2"/>
  <c r="F530" i="2"/>
  <c r="G529" i="2"/>
  <c r="F529" i="2"/>
  <c r="G528" i="2"/>
  <c r="F528" i="2"/>
  <c r="G527" i="2"/>
  <c r="F527" i="2"/>
  <c r="G526" i="2"/>
  <c r="F526" i="2"/>
  <c r="G525" i="2"/>
  <c r="F525" i="2"/>
  <c r="G524" i="2"/>
  <c r="F524" i="2"/>
  <c r="G523" i="2"/>
  <c r="F523" i="2"/>
  <c r="G522" i="2"/>
  <c r="F522" i="2"/>
  <c r="G521" i="2"/>
  <c r="F521" i="2"/>
  <c r="G520" i="2"/>
  <c r="F520" i="2"/>
  <c r="G519" i="2"/>
  <c r="F519" i="2"/>
  <c r="G518" i="2"/>
  <c r="F518" i="2"/>
  <c r="G517" i="2"/>
  <c r="F517" i="2"/>
  <c r="G516" i="2"/>
  <c r="F516" i="2"/>
  <c r="G515" i="2"/>
  <c r="F515" i="2"/>
  <c r="G514" i="2"/>
  <c r="F514" i="2"/>
  <c r="G513" i="2"/>
  <c r="F513" i="2"/>
  <c r="G512" i="2"/>
  <c r="F512" i="2"/>
  <c r="G511" i="2"/>
  <c r="F511" i="2"/>
  <c r="G510" i="2"/>
  <c r="F510" i="2"/>
  <c r="G509" i="2"/>
  <c r="F509" i="2"/>
  <c r="G508" i="2"/>
  <c r="F508" i="2"/>
  <c r="G507" i="2"/>
  <c r="F507" i="2"/>
  <c r="G506" i="2"/>
  <c r="F506" i="2"/>
  <c r="G505" i="2"/>
  <c r="F505" i="2"/>
  <c r="G504" i="2"/>
  <c r="F504" i="2"/>
  <c r="G503" i="2"/>
  <c r="F503" i="2"/>
  <c r="G502" i="2"/>
  <c r="F502" i="2"/>
  <c r="G501" i="2"/>
  <c r="F501" i="2"/>
  <c r="G500" i="2"/>
  <c r="F500" i="2"/>
  <c r="G499" i="2"/>
  <c r="F499" i="2"/>
  <c r="G498" i="2"/>
  <c r="F498" i="2"/>
  <c r="G497" i="2"/>
  <c r="F497" i="2"/>
  <c r="G496" i="2"/>
  <c r="F496" i="2"/>
  <c r="G495" i="2"/>
  <c r="F495" i="2"/>
  <c r="G494" i="2"/>
  <c r="F494" i="2"/>
  <c r="G493" i="2"/>
  <c r="F493" i="2"/>
  <c r="G492" i="2"/>
  <c r="F492" i="2"/>
  <c r="G491" i="2"/>
  <c r="F491" i="2"/>
  <c r="G490" i="2"/>
  <c r="F490" i="2"/>
  <c r="G489" i="2"/>
  <c r="F489" i="2"/>
  <c r="G488" i="2"/>
  <c r="F488" i="2"/>
  <c r="G487" i="2"/>
  <c r="F487" i="2"/>
  <c r="G486" i="2"/>
  <c r="F486" i="2"/>
  <c r="G485" i="2"/>
  <c r="F485" i="2"/>
  <c r="G484" i="2"/>
  <c r="F484" i="2"/>
  <c r="G483" i="2"/>
  <c r="F483" i="2"/>
  <c r="G482" i="2"/>
  <c r="F482" i="2"/>
  <c r="G481" i="2"/>
  <c r="F481" i="2"/>
  <c r="G480" i="2"/>
  <c r="F480" i="2"/>
  <c r="G479" i="2"/>
  <c r="F479" i="2"/>
  <c r="G478" i="2"/>
  <c r="F478" i="2"/>
  <c r="G477" i="2"/>
  <c r="F477" i="2"/>
  <c r="G476" i="2"/>
  <c r="F476" i="2"/>
  <c r="G475" i="2"/>
  <c r="F475" i="2"/>
  <c r="G474" i="2"/>
  <c r="F474" i="2"/>
  <c r="G473" i="2"/>
  <c r="F473" i="2"/>
  <c r="G472" i="2"/>
  <c r="F472" i="2"/>
  <c r="G471" i="2"/>
  <c r="F471" i="2"/>
  <c r="G470" i="2"/>
  <c r="F470" i="2"/>
  <c r="G469" i="2"/>
  <c r="F469" i="2"/>
  <c r="G468" i="2"/>
  <c r="F468" i="2"/>
  <c r="G467" i="2"/>
  <c r="F467" i="2"/>
  <c r="G466" i="2"/>
  <c r="F466" i="2"/>
  <c r="G465" i="2"/>
  <c r="F465" i="2"/>
  <c r="G464" i="2"/>
  <c r="F464" i="2"/>
  <c r="G463" i="2"/>
  <c r="F463" i="2"/>
  <c r="G462" i="2"/>
  <c r="F462" i="2"/>
  <c r="G461" i="2"/>
  <c r="F461" i="2"/>
  <c r="G460" i="2"/>
  <c r="F460" i="2"/>
  <c r="G459" i="2"/>
  <c r="F459" i="2"/>
  <c r="G458" i="2"/>
  <c r="F458" i="2"/>
  <c r="G457" i="2"/>
  <c r="F457" i="2"/>
  <c r="G456" i="2"/>
  <c r="F456" i="2"/>
  <c r="G455" i="2"/>
  <c r="F455" i="2"/>
  <c r="G454" i="2"/>
  <c r="F454" i="2"/>
  <c r="G453" i="2"/>
  <c r="F453" i="2"/>
  <c r="G452" i="2"/>
  <c r="F452" i="2"/>
  <c r="G451" i="2"/>
  <c r="F451" i="2"/>
  <c r="G450" i="2"/>
  <c r="F450" i="2"/>
  <c r="G449" i="2"/>
  <c r="F449" i="2"/>
  <c r="G448" i="2"/>
  <c r="F448" i="2"/>
  <c r="G447" i="2"/>
  <c r="F447" i="2"/>
  <c r="G446" i="2"/>
  <c r="F446" i="2"/>
  <c r="G445" i="2"/>
  <c r="F445" i="2"/>
  <c r="G444" i="2"/>
  <c r="F444" i="2"/>
  <c r="G443" i="2"/>
  <c r="F443" i="2"/>
  <c r="G442" i="2"/>
  <c r="F442" i="2"/>
  <c r="G441" i="2"/>
  <c r="F441" i="2"/>
  <c r="G440" i="2"/>
  <c r="F440" i="2"/>
  <c r="G439" i="2"/>
  <c r="F439" i="2"/>
  <c r="G438" i="2"/>
  <c r="F438" i="2"/>
  <c r="G437" i="2"/>
  <c r="F437" i="2"/>
  <c r="G436" i="2"/>
  <c r="F436" i="2"/>
  <c r="G435" i="2"/>
  <c r="F435" i="2"/>
  <c r="G434" i="2"/>
  <c r="F434" i="2"/>
  <c r="G433" i="2"/>
  <c r="F433" i="2"/>
  <c r="G432" i="2"/>
  <c r="F432" i="2"/>
  <c r="G431" i="2"/>
  <c r="F431" i="2"/>
  <c r="G430" i="2"/>
  <c r="F430" i="2"/>
  <c r="G429" i="2"/>
  <c r="F429" i="2"/>
  <c r="G428" i="2"/>
  <c r="F428" i="2"/>
  <c r="G427" i="2"/>
  <c r="F427" i="2"/>
  <c r="G426" i="2"/>
  <c r="F426" i="2"/>
  <c r="G425" i="2"/>
  <c r="F425" i="2"/>
  <c r="G424" i="2"/>
  <c r="F424" i="2"/>
  <c r="G423" i="2"/>
  <c r="F423" i="2"/>
  <c r="G422" i="2"/>
  <c r="F422" i="2"/>
  <c r="G421" i="2"/>
  <c r="F421" i="2"/>
  <c r="G420" i="2"/>
  <c r="F420" i="2"/>
  <c r="G419" i="2"/>
  <c r="F419" i="2"/>
  <c r="G418" i="2"/>
  <c r="F418" i="2"/>
  <c r="G417" i="2"/>
  <c r="F417" i="2"/>
  <c r="G416" i="2"/>
  <c r="F416" i="2"/>
  <c r="G415" i="2"/>
  <c r="F415" i="2"/>
  <c r="G414" i="2"/>
  <c r="F414" i="2"/>
  <c r="G413" i="2"/>
  <c r="F413" i="2"/>
  <c r="G412" i="2"/>
  <c r="F412" i="2"/>
  <c r="G411" i="2"/>
  <c r="F411" i="2"/>
  <c r="G410" i="2"/>
  <c r="F410" i="2"/>
  <c r="G409" i="2"/>
  <c r="F409" i="2"/>
  <c r="G408" i="2"/>
  <c r="F408" i="2"/>
  <c r="G407" i="2"/>
  <c r="F407" i="2"/>
  <c r="G406" i="2"/>
  <c r="F406" i="2"/>
  <c r="G405" i="2"/>
  <c r="F405" i="2"/>
  <c r="G404" i="2"/>
  <c r="F404" i="2"/>
  <c r="G403" i="2"/>
  <c r="F403" i="2"/>
  <c r="G402" i="2"/>
  <c r="F402" i="2"/>
  <c r="G401" i="2"/>
  <c r="F401" i="2"/>
  <c r="G400" i="2"/>
  <c r="F400" i="2"/>
  <c r="G399" i="2"/>
  <c r="F399" i="2"/>
  <c r="G398" i="2"/>
  <c r="F398" i="2"/>
  <c r="G397" i="2"/>
  <c r="F397" i="2"/>
  <c r="G396" i="2"/>
  <c r="F396" i="2"/>
  <c r="G395" i="2"/>
  <c r="F395" i="2"/>
  <c r="G394" i="2"/>
  <c r="F394" i="2"/>
  <c r="G393" i="2"/>
  <c r="F393" i="2"/>
  <c r="G392" i="2"/>
  <c r="F392" i="2"/>
  <c r="G391" i="2"/>
  <c r="F391" i="2"/>
  <c r="G390" i="2"/>
  <c r="F390" i="2"/>
  <c r="G389" i="2"/>
  <c r="F389" i="2"/>
  <c r="G388" i="2"/>
  <c r="F388" i="2"/>
  <c r="G387" i="2"/>
  <c r="F387" i="2"/>
  <c r="G386" i="2"/>
  <c r="F386" i="2"/>
  <c r="G385" i="2"/>
  <c r="F385" i="2"/>
  <c r="G384" i="2"/>
  <c r="F384" i="2"/>
  <c r="G383" i="2"/>
  <c r="F383" i="2"/>
  <c r="G382" i="2"/>
  <c r="F382" i="2"/>
  <c r="G381" i="2"/>
  <c r="F381" i="2"/>
  <c r="G380" i="2"/>
  <c r="F380" i="2"/>
  <c r="G379" i="2"/>
  <c r="F379" i="2"/>
  <c r="G378" i="2"/>
  <c r="F378" i="2"/>
  <c r="G377" i="2"/>
  <c r="F377" i="2"/>
  <c r="G376" i="2"/>
  <c r="F376" i="2"/>
  <c r="G375" i="2"/>
  <c r="F375" i="2"/>
  <c r="G374" i="2"/>
  <c r="F374" i="2"/>
  <c r="G373" i="2"/>
  <c r="F373" i="2"/>
  <c r="G372" i="2"/>
  <c r="F372" i="2"/>
  <c r="G371" i="2"/>
  <c r="F371" i="2"/>
  <c r="G370" i="2"/>
  <c r="F370" i="2"/>
  <c r="G369" i="2"/>
  <c r="F369" i="2"/>
  <c r="G368" i="2"/>
  <c r="F368" i="2"/>
  <c r="G367" i="2"/>
  <c r="F367" i="2"/>
  <c r="G366" i="2"/>
  <c r="F366" i="2"/>
  <c r="G365" i="2"/>
  <c r="F365" i="2"/>
  <c r="G364" i="2"/>
  <c r="F364" i="2"/>
  <c r="G363" i="2"/>
  <c r="F363" i="2"/>
  <c r="G362" i="2"/>
  <c r="F362" i="2"/>
  <c r="G361" i="2"/>
  <c r="F361" i="2"/>
  <c r="G360" i="2"/>
  <c r="F360" i="2"/>
  <c r="G359" i="2"/>
  <c r="F359" i="2"/>
  <c r="G358" i="2"/>
  <c r="F358" i="2"/>
  <c r="G357" i="2"/>
  <c r="F357" i="2"/>
  <c r="G356" i="2"/>
  <c r="F356" i="2"/>
  <c r="G355" i="2"/>
  <c r="F355" i="2"/>
  <c r="G354" i="2"/>
  <c r="F354" i="2"/>
  <c r="G353" i="2"/>
  <c r="F353" i="2"/>
  <c r="G352" i="2"/>
  <c r="F352" i="2"/>
  <c r="G351" i="2"/>
  <c r="F351" i="2"/>
  <c r="G350" i="2"/>
  <c r="F350" i="2"/>
  <c r="G349" i="2"/>
  <c r="F349" i="2"/>
  <c r="G348" i="2"/>
  <c r="F348" i="2"/>
  <c r="G347" i="2"/>
  <c r="F347" i="2"/>
  <c r="G346" i="2"/>
  <c r="F346" i="2"/>
  <c r="G345" i="2"/>
  <c r="F345" i="2"/>
  <c r="G344" i="2"/>
  <c r="F344" i="2"/>
  <c r="G343" i="2"/>
  <c r="F343" i="2"/>
  <c r="G342" i="2"/>
  <c r="F342" i="2"/>
  <c r="G341" i="2"/>
  <c r="F341" i="2"/>
  <c r="G340" i="2"/>
  <c r="F340" i="2"/>
  <c r="G339" i="2"/>
  <c r="F339" i="2"/>
  <c r="G338" i="2"/>
  <c r="F338" i="2"/>
  <c r="G337" i="2"/>
  <c r="F337" i="2"/>
  <c r="G336" i="2"/>
  <c r="F336" i="2"/>
  <c r="G335" i="2"/>
  <c r="F335" i="2"/>
  <c r="G334" i="2"/>
  <c r="F334" i="2"/>
  <c r="G333" i="2"/>
  <c r="F333" i="2"/>
  <c r="G332" i="2"/>
  <c r="F332" i="2"/>
  <c r="G331" i="2"/>
  <c r="F331" i="2"/>
  <c r="G330" i="2"/>
  <c r="F330" i="2"/>
  <c r="G329" i="2"/>
  <c r="F329" i="2"/>
  <c r="G328" i="2"/>
  <c r="F328" i="2"/>
  <c r="G327" i="2"/>
  <c r="F327" i="2"/>
  <c r="G326" i="2"/>
  <c r="F326" i="2"/>
  <c r="G325" i="2"/>
  <c r="F325" i="2"/>
  <c r="G324" i="2"/>
  <c r="F324" i="2"/>
  <c r="G323" i="2"/>
  <c r="F323" i="2"/>
  <c r="G322" i="2"/>
  <c r="F322" i="2"/>
  <c r="G321" i="2"/>
  <c r="F321" i="2"/>
  <c r="G320" i="2"/>
  <c r="F320" i="2"/>
  <c r="G319" i="2"/>
  <c r="F319" i="2"/>
  <c r="G318" i="2"/>
  <c r="F318" i="2"/>
  <c r="G317" i="2"/>
  <c r="F317" i="2"/>
  <c r="G316" i="2"/>
  <c r="F316" i="2"/>
  <c r="G315" i="2"/>
  <c r="F315" i="2"/>
  <c r="G314" i="2"/>
  <c r="F314" i="2"/>
  <c r="G313" i="2"/>
  <c r="F313" i="2"/>
  <c r="G312" i="2"/>
  <c r="F312" i="2"/>
  <c r="G311" i="2"/>
  <c r="F311" i="2"/>
  <c r="G310" i="2"/>
  <c r="F310" i="2"/>
  <c r="G309" i="2"/>
  <c r="F309" i="2"/>
  <c r="G308" i="2"/>
  <c r="F308" i="2"/>
  <c r="G307" i="2"/>
  <c r="F307" i="2"/>
  <c r="G306" i="2"/>
  <c r="F306" i="2"/>
  <c r="G305" i="2"/>
  <c r="F305" i="2"/>
  <c r="G304" i="2"/>
  <c r="F304" i="2"/>
  <c r="G303" i="2"/>
  <c r="F303" i="2"/>
  <c r="G302" i="2"/>
  <c r="F302" i="2"/>
  <c r="G301" i="2"/>
  <c r="F301" i="2"/>
  <c r="G300" i="2"/>
  <c r="F300" i="2"/>
  <c r="G299" i="2"/>
  <c r="F299" i="2"/>
  <c r="G298" i="2"/>
  <c r="F298" i="2"/>
  <c r="G297" i="2"/>
  <c r="F297" i="2"/>
  <c r="G296" i="2"/>
  <c r="F296" i="2"/>
  <c r="G295" i="2"/>
  <c r="F295" i="2"/>
  <c r="G294" i="2"/>
  <c r="F294" i="2"/>
  <c r="G293" i="2"/>
  <c r="F293" i="2"/>
  <c r="G292" i="2"/>
  <c r="F292" i="2"/>
  <c r="G291" i="2"/>
  <c r="F291" i="2"/>
  <c r="G290" i="2"/>
  <c r="F290" i="2"/>
  <c r="G289" i="2"/>
  <c r="F289" i="2"/>
  <c r="G288" i="2"/>
  <c r="F288" i="2"/>
  <c r="G287" i="2"/>
  <c r="F287" i="2"/>
  <c r="G286" i="2"/>
  <c r="F286" i="2"/>
  <c r="G285" i="2"/>
  <c r="F285" i="2"/>
  <c r="G284" i="2"/>
  <c r="F284" i="2"/>
  <c r="G283" i="2"/>
  <c r="F283" i="2"/>
  <c r="G282" i="2"/>
  <c r="F282" i="2"/>
  <c r="G281" i="2"/>
  <c r="F281" i="2"/>
  <c r="G280" i="2"/>
  <c r="F280" i="2"/>
  <c r="G279" i="2"/>
  <c r="F279" i="2"/>
  <c r="G278" i="2"/>
  <c r="F278" i="2"/>
  <c r="G277" i="2"/>
  <c r="F277" i="2"/>
  <c r="G276" i="2"/>
  <c r="F276" i="2"/>
  <c r="G275" i="2"/>
  <c r="F275" i="2"/>
  <c r="G274" i="2"/>
  <c r="F274" i="2"/>
  <c r="G273" i="2"/>
  <c r="F273" i="2"/>
  <c r="G272" i="2"/>
  <c r="F272" i="2"/>
  <c r="G271" i="2"/>
  <c r="F271" i="2"/>
  <c r="G270" i="2"/>
  <c r="F270" i="2"/>
  <c r="G269" i="2"/>
  <c r="F269" i="2"/>
  <c r="G268" i="2"/>
  <c r="F268" i="2"/>
  <c r="G267" i="2"/>
  <c r="F267" i="2"/>
  <c r="G266" i="2"/>
  <c r="F266" i="2"/>
  <c r="G265" i="2"/>
  <c r="F265" i="2"/>
  <c r="G264" i="2"/>
  <c r="F264" i="2"/>
  <c r="G263" i="2"/>
  <c r="F263" i="2"/>
  <c r="G262" i="2"/>
  <c r="F262" i="2"/>
  <c r="G261" i="2"/>
  <c r="F261" i="2"/>
  <c r="G260" i="2"/>
  <c r="F260" i="2"/>
  <c r="G259" i="2"/>
  <c r="F259" i="2"/>
  <c r="G258" i="2"/>
  <c r="F258" i="2"/>
  <c r="G257" i="2"/>
  <c r="F257" i="2"/>
  <c r="G256" i="2"/>
  <c r="F256" i="2"/>
  <c r="G255" i="2"/>
  <c r="F255" i="2"/>
  <c r="G254" i="2"/>
  <c r="F254" i="2"/>
  <c r="G253" i="2"/>
  <c r="F253" i="2"/>
  <c r="G252" i="2"/>
  <c r="F252" i="2"/>
  <c r="G251" i="2"/>
  <c r="F251" i="2"/>
  <c r="G250" i="2"/>
  <c r="F250" i="2"/>
  <c r="G249" i="2"/>
  <c r="F249" i="2"/>
  <c r="G248" i="2"/>
  <c r="F248" i="2"/>
  <c r="G247" i="2"/>
  <c r="F247" i="2"/>
  <c r="G246" i="2"/>
  <c r="F246" i="2"/>
  <c r="G245" i="2"/>
  <c r="F245" i="2"/>
  <c r="G244" i="2"/>
  <c r="F244" i="2"/>
  <c r="G243" i="2"/>
  <c r="F243" i="2"/>
  <c r="G242" i="2"/>
  <c r="F242" i="2"/>
  <c r="G241" i="2"/>
  <c r="F241" i="2"/>
  <c r="G240" i="2"/>
  <c r="F240" i="2"/>
  <c r="G239" i="2"/>
  <c r="F239" i="2"/>
  <c r="G238" i="2"/>
  <c r="F238" i="2"/>
  <c r="G237" i="2"/>
  <c r="F237" i="2"/>
  <c r="G236" i="2"/>
  <c r="F236" i="2"/>
  <c r="G235" i="2"/>
  <c r="F235" i="2"/>
  <c r="G234" i="2"/>
  <c r="F234" i="2"/>
  <c r="G233" i="2"/>
  <c r="F233" i="2"/>
  <c r="G232" i="2"/>
  <c r="F232" i="2"/>
  <c r="G231" i="2"/>
  <c r="F231" i="2"/>
  <c r="G230" i="2"/>
  <c r="F230" i="2"/>
  <c r="G229" i="2"/>
  <c r="F229" i="2"/>
  <c r="G228" i="2"/>
  <c r="F228" i="2"/>
  <c r="G227" i="2"/>
  <c r="F227" i="2"/>
  <c r="G226" i="2"/>
  <c r="F226" i="2"/>
  <c r="G225" i="2"/>
  <c r="F225" i="2"/>
  <c r="G224" i="2"/>
  <c r="F224" i="2"/>
  <c r="G223" i="2"/>
  <c r="F223" i="2"/>
  <c r="G222" i="2"/>
  <c r="F222" i="2"/>
  <c r="G221" i="2"/>
  <c r="F221" i="2"/>
  <c r="G220" i="2"/>
  <c r="F220" i="2"/>
  <c r="G219" i="2"/>
  <c r="F219" i="2"/>
  <c r="G218" i="2"/>
  <c r="F218" i="2"/>
  <c r="G217" i="2"/>
  <c r="F217" i="2"/>
  <c r="G216" i="2"/>
  <c r="F216" i="2"/>
  <c r="G215" i="2"/>
  <c r="F215" i="2"/>
  <c r="G214" i="2"/>
  <c r="F214" i="2"/>
  <c r="G213" i="2"/>
  <c r="F213" i="2"/>
  <c r="G212" i="2"/>
  <c r="F212" i="2"/>
  <c r="G211" i="2"/>
  <c r="F211" i="2"/>
  <c r="G210" i="2"/>
  <c r="F210" i="2"/>
  <c r="G209" i="2"/>
  <c r="F209" i="2"/>
  <c r="G208" i="2"/>
  <c r="F208" i="2"/>
  <c r="G207" i="2"/>
  <c r="F207" i="2"/>
  <c r="G206" i="2"/>
  <c r="F206" i="2"/>
  <c r="G205" i="2"/>
  <c r="F205" i="2"/>
  <c r="G204" i="2"/>
  <c r="F204" i="2"/>
  <c r="G203" i="2"/>
  <c r="F203" i="2"/>
  <c r="G202" i="2"/>
  <c r="F202" i="2"/>
  <c r="G201" i="2"/>
  <c r="F201" i="2"/>
  <c r="G200" i="2"/>
  <c r="F200" i="2"/>
  <c r="G199" i="2"/>
  <c r="F199" i="2"/>
  <c r="G198" i="2"/>
  <c r="F198" i="2"/>
  <c r="G197" i="2"/>
  <c r="F197" i="2"/>
  <c r="G196" i="2"/>
  <c r="F196" i="2"/>
  <c r="G195" i="2"/>
  <c r="F195" i="2"/>
  <c r="G194" i="2"/>
  <c r="F194" i="2"/>
  <c r="G193" i="2"/>
  <c r="F193" i="2"/>
  <c r="G192" i="2"/>
  <c r="F192" i="2"/>
  <c r="G191" i="2"/>
  <c r="F191" i="2"/>
  <c r="G190" i="2"/>
  <c r="F190" i="2"/>
  <c r="G189" i="2"/>
  <c r="F189" i="2"/>
  <c r="G188" i="2"/>
  <c r="F188" i="2"/>
  <c r="G187" i="2"/>
  <c r="F187"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72" i="2"/>
  <c r="F172" i="2"/>
  <c r="G171" i="2"/>
  <c r="F171" i="2"/>
  <c r="G170" i="2"/>
  <c r="F170" i="2"/>
  <c r="G169" i="2"/>
  <c r="F169" i="2"/>
  <c r="G168" i="2"/>
  <c r="F168" i="2"/>
  <c r="G167" i="2"/>
  <c r="F167" i="2"/>
  <c r="G166" i="2"/>
  <c r="F166" i="2"/>
  <c r="G165" i="2"/>
  <c r="F165" i="2"/>
  <c r="G164" i="2"/>
  <c r="F164" i="2"/>
  <c r="G163" i="2"/>
  <c r="F163" i="2"/>
  <c r="G162" i="2"/>
  <c r="F162" i="2"/>
  <c r="G161" i="2"/>
  <c r="F161" i="2"/>
  <c r="G160" i="2"/>
  <c r="F160" i="2"/>
  <c r="G159" i="2"/>
  <c r="F159" i="2"/>
  <c r="G158" i="2"/>
  <c r="F158" i="2"/>
  <c r="G157" i="2"/>
  <c r="F157" i="2"/>
  <c r="G156" i="2"/>
  <c r="F156" i="2"/>
  <c r="G155" i="2"/>
  <c r="F155" i="2"/>
  <c r="G154" i="2"/>
  <c r="F154" i="2"/>
  <c r="G153" i="2"/>
  <c r="F153" i="2"/>
  <c r="G152" i="2"/>
  <c r="F152" i="2"/>
  <c r="G151" i="2"/>
  <c r="F151" i="2"/>
  <c r="G150" i="2"/>
  <c r="F150" i="2"/>
  <c r="G149" i="2"/>
  <c r="F149" i="2"/>
  <c r="G148" i="2"/>
  <c r="F148" i="2"/>
  <c r="G147" i="2"/>
  <c r="F147" i="2"/>
  <c r="G146" i="2"/>
  <c r="F146" i="2"/>
  <c r="G145" i="2"/>
  <c r="F145" i="2"/>
  <c r="G144" i="2"/>
  <c r="F144" i="2"/>
  <c r="G143" i="2"/>
  <c r="F143" i="2"/>
  <c r="G142" i="2"/>
  <c r="F142" i="2"/>
  <c r="G141" i="2"/>
  <c r="F141"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 r="L786" i="6" l="1"/>
  <c r="M786" i="6" s="1"/>
  <c r="L798" i="6"/>
  <c r="M798" i="6" s="1"/>
  <c r="L512" i="6"/>
  <c r="M512" i="6" s="1"/>
  <c r="L524" i="6"/>
  <c r="M524" i="6" s="1"/>
  <c r="L536" i="6"/>
  <c r="M536" i="6" s="1"/>
  <c r="L548" i="6"/>
  <c r="M548" i="6" s="1"/>
  <c r="L560" i="6"/>
  <c r="M560" i="6" s="1"/>
  <c r="L572" i="6"/>
  <c r="M572" i="6" s="1"/>
  <c r="L584" i="6"/>
  <c r="M584" i="6" s="1"/>
  <c r="L596" i="6"/>
  <c r="M596" i="6" s="1"/>
  <c r="L608" i="6"/>
  <c r="M608" i="6" s="1"/>
  <c r="L620" i="6"/>
  <c r="M620" i="6" s="1"/>
  <c r="L632" i="6"/>
  <c r="M632" i="6" s="1"/>
  <c r="L644" i="6"/>
  <c r="M644" i="6" s="1"/>
  <c r="L656" i="6"/>
  <c r="M656" i="6" s="1"/>
  <c r="L668" i="6"/>
  <c r="M668" i="6" s="1"/>
  <c r="L680" i="6"/>
  <c r="M680" i="6" s="1"/>
  <c r="L692" i="6"/>
  <c r="M692" i="6" s="1"/>
  <c r="L704" i="6"/>
  <c r="M704" i="6" s="1"/>
  <c r="L716" i="6"/>
  <c r="M716" i="6" s="1"/>
  <c r="L728" i="6"/>
  <c r="M728" i="6" s="1"/>
  <c r="L740" i="6"/>
  <c r="M740" i="6" s="1"/>
  <c r="L752" i="6"/>
  <c r="M752" i="6" s="1"/>
  <c r="L764" i="6"/>
  <c r="M764" i="6" s="1"/>
  <c r="L776" i="6"/>
  <c r="M776" i="6" s="1"/>
  <c r="L788" i="6"/>
  <c r="M788" i="6" s="1"/>
  <c r="L505" i="6"/>
  <c r="M505" i="6" s="1"/>
  <c r="L517" i="6"/>
  <c r="M517" i="6" s="1"/>
  <c r="L529" i="6"/>
  <c r="M529" i="6" s="1"/>
  <c r="L541" i="6"/>
  <c r="M541" i="6" s="1"/>
  <c r="L553" i="6"/>
  <c r="M553" i="6" s="1"/>
  <c r="L565" i="6"/>
  <c r="M565" i="6" s="1"/>
  <c r="L577" i="6"/>
  <c r="M577" i="6" s="1"/>
  <c r="L589" i="6"/>
  <c r="M589" i="6" s="1"/>
  <c r="L601" i="6"/>
  <c r="M601" i="6" s="1"/>
  <c r="L613" i="6"/>
  <c r="M613" i="6" s="1"/>
  <c r="L625" i="6"/>
  <c r="M625" i="6" s="1"/>
  <c r="L637" i="6"/>
  <c r="M637" i="6" s="1"/>
  <c r="L649" i="6"/>
  <c r="M649" i="6" s="1"/>
  <c r="L661" i="6"/>
  <c r="M661" i="6" s="1"/>
  <c r="L673" i="6"/>
  <c r="M673" i="6" s="1"/>
  <c r="L685" i="6"/>
  <c r="M685" i="6" s="1"/>
  <c r="L697" i="6"/>
  <c r="M697" i="6" s="1"/>
  <c r="L709" i="6"/>
  <c r="M709" i="6" s="1"/>
  <c r="L721" i="6"/>
  <c r="M721" i="6" s="1"/>
  <c r="L733" i="6"/>
  <c r="M733" i="6" s="1"/>
  <c r="L745" i="6"/>
  <c r="M745" i="6" s="1"/>
  <c r="L757" i="6"/>
  <c r="M757" i="6" s="1"/>
  <c r="L769" i="6"/>
  <c r="M769" i="6" s="1"/>
  <c r="L781" i="6"/>
  <c r="M781" i="6" s="1"/>
  <c r="L793" i="6"/>
  <c r="M793"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Data Modelling - Class Workbook.xlsx!Table1" type="5" refreshedVersion="2" saveData="1">
    <dbPr connection="" command=""/>
  </connection>
  <connection id="2" xr16:uid="{00000000-0015-0000-FFFF-FFFF01000000}" name="WorksheetConnection_Data Modelling - Class Workbook.xlsx!Table2" type="5" refreshedVersion="2" saveData="1">
    <dbPr connection="" command=""/>
  </connection>
  <connection id="3" xr16:uid="{00000000-0015-0000-FFFF-FFFF02000000}" name="WorksheetConnection_Data Modelling - Class Workbook.xlsx!Table3" type="5" refreshedVersion="2" saveData="1">
    <dbPr connection="" command=""/>
  </connection>
  <connection id="4" xr16:uid="{00000000-0015-0000-FFFF-FFFF03000000}" name="WorksheetConnection_Data Modelling - Class Workbook.xlsx!Table4" type="5" refreshedVersion="2" saveData="1">
    <dbPr connection="" command=""/>
  </connection>
</connections>
</file>

<file path=xl/sharedStrings.xml><?xml version="1.0" encoding="utf-8"?>
<sst xmlns="http://schemas.openxmlformats.org/spreadsheetml/2006/main" count="12228" uniqueCount="1790">
  <si>
    <t>My question(s)</t>
  </si>
  <si>
    <t>Trend of no of Sales for Each Day</t>
  </si>
  <si>
    <t>Trend of Revenue Generated for each day</t>
  </si>
  <si>
    <t>Trend of Revenue Generated for Each Product</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</si>
  <si>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</si>
  <si>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</si>
  <si>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</si>
  <si>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</si>
  <si>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</si>
  <si>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</si>
  <si>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</si>
  <si>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</si>
  <si>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</si>
  <si>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</si>
  <si>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</si>
  <si>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</si>
  <si>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</si>
  <si>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</si>
  <si>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</si>
  <si>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</si>
  <si>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</si>
  <si>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</si>
  <si>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</si>
  <si>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</si>
  <si>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</si>
  <si>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</si>
  <si>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</si>
  <si>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</si>
  <si>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</si>
  <si>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</si>
  <si>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</si>
  <si>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</si>
  <si>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</si>
  <si>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</si>
  <si>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</si>
  <si>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</si>
  <si>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</si>
  <si>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</si>
  <si>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</si>
  <si>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</si>
  <si>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</si>
  <si>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</si>
  <si>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</si>
  <si>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</si>
  <si>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</si>
  <si>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</si>
  <si>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</si>
  <si>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</si>
  <si>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</si>
  <si>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</si>
  <si>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</si>
  <si>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</si>
  <si>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</si>
  <si>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</si>
  <si>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</si>
  <si>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</si>
  <si>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</si>
  <si>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</si>
  <si>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</si>
  <si>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</si>
  <si>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</si>
  <si>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</si>
  <si>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</si>
  <si>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</si>
  <si>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</si>
  <si>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</si>
  <si>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</si>
  <si>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</si>
  <si>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</si>
  <si>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</si>
  <si>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</si>
  <si>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</si>
  <si>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</si>
  <si>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</si>
  <si>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</si>
  <si>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</si>
  <si>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</si>
  <si>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</si>
  <si>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</si>
  <si>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</si>
  <si>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</si>
  <si>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</si>
  <si>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</si>
  <si>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</si>
  <si>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</si>
  <si>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</si>
  <si>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</si>
  <si>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</si>
  <si>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</si>
  <si>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</si>
  <si>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</si>
  <si>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</si>
  <si>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</si>
  <si>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</si>
  <si>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</si>
  <si>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</si>
  <si>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</si>
  <si>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</si>
  <si>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</si>
  <si>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</si>
  <si>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</si>
  <si>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</si>
  <si>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</si>
  <si>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</si>
  <si>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</si>
  <si>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</si>
  <si>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</si>
  <si>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</si>
  <si>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</si>
  <si>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</si>
  <si>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</si>
  <si>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</si>
  <si>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</si>
  <si>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</si>
  <si>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</si>
  <si>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</si>
  <si>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</si>
  <si>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</si>
  <si>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</si>
  <si>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</si>
  <si>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</si>
  <si>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</si>
  <si>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</si>
  <si>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</si>
  <si>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</si>
  <si>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</si>
  <si>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</si>
  <si>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</si>
  <si>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</si>
  <si>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</si>
  <si>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</si>
  <si>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</si>
  <si>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</si>
  <si>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</si>
  <si>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</si>
  <si>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</si>
  <si>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</si>
  <si>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</si>
  <si>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</si>
  <si>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</si>
  <si>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</si>
  <si>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</si>
  <si>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</si>
  <si>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</si>
  <si>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</si>
  <si>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</si>
  <si>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</si>
  <si>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</si>
  <si>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</si>
  <si>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</si>
  <si>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</si>
  <si>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</si>
  <si>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</si>
  <si>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</si>
  <si>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</si>
  <si>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</si>
  <si>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</si>
  <si>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</si>
  <si>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</si>
  <si>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</si>
  <si>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</si>
  <si>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</si>
  <si>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</si>
  <si>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</si>
  <si>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</si>
  <si>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</si>
  <si>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</si>
  <si>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</si>
  <si>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</si>
  <si>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</si>
  <si>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</si>
  <si>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</si>
  <si>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</si>
  <si>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</si>
  <si>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</si>
  <si>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</si>
  <si>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</si>
  <si>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</si>
  <si>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</si>
  <si>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</si>
  <si>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</si>
  <si>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</si>
  <si>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</si>
  <si>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</si>
  <si>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</si>
  <si>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</si>
  <si>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</si>
  <si>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</si>
  <si>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</si>
  <si>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</si>
  <si>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</si>
  <si>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</si>
  <si>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</si>
  <si>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</si>
  <si>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</si>
  <si>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</si>
  <si>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</si>
  <si>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</si>
  <si>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</si>
  <si>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</si>
  <si>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</si>
  <si>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</si>
  <si>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</si>
  <si>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</si>
  <si>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</si>
  <si>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</si>
  <si>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</si>
  <si>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</si>
  <si>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</si>
  <si>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</si>
  <si>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</si>
  <si>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</si>
  <si>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</si>
  <si>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</si>
  <si>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</si>
  <si>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</si>
  <si>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</si>
  <si>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</si>
  <si>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</si>
  <si>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</si>
  <si>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</si>
  <si>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</si>
  <si>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</si>
  <si>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</si>
  <si>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</si>
  <si>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</si>
  <si>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</si>
  <si>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</si>
  <si>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</si>
  <si>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</si>
  <si>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</si>
  <si>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</si>
  <si>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</si>
  <si>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</si>
  <si>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</si>
  <si>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</si>
  <si>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</si>
  <si>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</si>
  <si>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</si>
  <si>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</si>
  <si>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</si>
  <si>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</si>
  <si>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</si>
  <si>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</si>
  <si>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</si>
  <si>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</si>
  <si>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</si>
  <si>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</si>
  <si>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</si>
  <si>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</si>
  <si>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</si>
  <si>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</si>
  <si>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</si>
  <si>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</si>
  <si>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</si>
  <si>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</si>
  <si>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</si>
  <si>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</si>
  <si>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</si>
  <si>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</si>
  <si>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</si>
  <si>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</si>
  <si>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</si>
  <si>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</si>
  <si>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</si>
  <si>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</si>
  <si>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</si>
  <si>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</si>
  <si>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</si>
  <si>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</si>
  <si>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</si>
  <si>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</si>
  <si>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</si>
  <si>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</si>
  <si>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</si>
  <si>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</si>
  <si>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</si>
  <si>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</si>
  <si>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</si>
  <si>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</si>
  <si>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</si>
  <si>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</si>
  <si>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</si>
  <si>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</si>
  <si>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</si>
  <si>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</si>
  <si>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</si>
  <si>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</si>
  <si>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</si>
  <si>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</si>
  <si>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</si>
  <si>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</si>
  <si>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</si>
  <si>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</si>
  <si>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</si>
  <si>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</si>
  <si>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</si>
  <si>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</si>
  <si>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</si>
  <si>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</si>
  <si>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</si>
  <si>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</si>
  <si>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</si>
  <si>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</si>
  <si>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</si>
  <si>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</si>
  <si>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</si>
  <si>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</si>
  <si>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</si>
  <si>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</si>
  <si>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</si>
  <si>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</si>
  <si>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</si>
  <si>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</si>
  <si>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</si>
  <si>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</si>
  <si>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</si>
  <si>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</si>
  <si>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</si>
  <si>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</si>
  <si>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</si>
  <si>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</si>
  <si>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</si>
  <si>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</si>
  <si>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</si>
  <si>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</si>
  <si>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</si>
  <si>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</si>
  <si>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</si>
  <si>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</si>
  <si>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</si>
  <si>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</si>
  <si>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</si>
  <si>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</si>
  <si>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</si>
  <si>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</si>
  <si>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</si>
  <si>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</si>
  <si>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</si>
  <si>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</si>
  <si>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</si>
  <si>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</si>
  <si>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</si>
  <si>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</si>
  <si>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</si>
  <si>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</si>
  <si>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</si>
  <si>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</si>
  <si>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</si>
  <si>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</si>
  <si>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</si>
  <si>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</si>
  <si>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</si>
  <si>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</si>
  <si>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</si>
  <si>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</si>
  <si>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</si>
  <si>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</si>
  <si>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</si>
  <si>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</si>
  <si>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</si>
  <si>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</si>
  <si>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</si>
  <si>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</si>
  <si>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</si>
  <si>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</si>
  <si>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</si>
  <si>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</si>
  <si>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</si>
  <si>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</si>
  <si>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</si>
  <si>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</si>
  <si>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</si>
  <si>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</si>
  <si>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</si>
  <si>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</si>
  <si>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</si>
  <si>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</si>
  <si>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</si>
  <si>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</si>
  <si>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</si>
  <si>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</si>
  <si>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</si>
  <si>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</si>
  <si>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</si>
  <si>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</si>
  <si>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</si>
  <si>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</si>
  <si>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</si>
  <si>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</si>
  <si>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</si>
  <si>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</si>
  <si>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</si>
  <si>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</si>
  <si>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</si>
  <si>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</si>
  <si>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</si>
  <si>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</si>
  <si>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</si>
  <si>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</si>
  <si>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</si>
  <si>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</si>
  <si>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</si>
  <si>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</si>
  <si>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</si>
  <si>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</si>
  <si>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</si>
  <si>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</si>
  <si>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</si>
  <si>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</si>
  <si>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</si>
  <si>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</si>
  <si>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</si>
  <si>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</si>
  <si>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</si>
  <si>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</si>
  <si>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</si>
  <si>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</si>
  <si>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</si>
  <si>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</si>
  <si>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</si>
  <si>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</si>
  <si>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</si>
  <si>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</si>
  <si>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</si>
  <si>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</si>
  <si>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</si>
  <si>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</si>
  <si>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</si>
  <si>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</si>
  <si>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</si>
  <si>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</si>
  <si>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</si>
  <si>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</si>
  <si>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</si>
  <si>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</si>
  <si>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</si>
  <si>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</si>
  <si>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</si>
  <si>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</si>
  <si>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</si>
  <si>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</si>
  <si>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</si>
  <si>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</si>
  <si>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</si>
  <si>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</si>
  <si>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</si>
  <si>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</si>
  <si>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</si>
  <si>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</si>
  <si>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</si>
  <si>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</si>
  <si>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</si>
  <si>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</si>
  <si>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</si>
  <si>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</si>
  <si>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</si>
  <si>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</si>
  <si>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</si>
  <si>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</si>
  <si>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</si>
  <si>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</si>
  <si>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</si>
  <si>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</si>
  <si>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</si>
  <si>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</si>
  <si>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</si>
  <si>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</si>
  <si>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</si>
  <si>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</si>
  <si>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</si>
  <si>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</si>
  <si>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</si>
  <si>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</si>
  <si>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</si>
  <si>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</si>
  <si>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</si>
  <si>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</si>
  <si>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</si>
  <si>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</si>
  <si>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</si>
  <si>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</si>
  <si>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</si>
  <si>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</si>
  <si>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</si>
  <si>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</si>
  <si>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</si>
  <si>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</si>
  <si>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</si>
  <si>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</si>
  <si>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</si>
  <si>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</si>
  <si>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</si>
  <si>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</si>
  <si>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</si>
  <si>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</si>
  <si>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</si>
  <si>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</si>
  <si>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</si>
  <si>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</si>
  <si>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</si>
  <si>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</si>
  <si>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</si>
  <si>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</si>
  <si>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</si>
  <si>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</si>
  <si>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</si>
  <si>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</si>
  <si>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</si>
  <si>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</si>
  <si>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</si>
  <si>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</si>
  <si>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</si>
  <si>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</si>
  <si>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</si>
  <si>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</si>
  <si>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</si>
  <si>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</si>
  <si>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</si>
  <si>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</si>
  <si>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</si>
  <si>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</si>
  <si>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</si>
  <si>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</si>
  <si>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</si>
  <si>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</si>
  <si>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</si>
  <si>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</si>
  <si>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</si>
  <si>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</si>
  <si>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</si>
  <si>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</si>
  <si>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</si>
  <si>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</si>
  <si>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</si>
  <si>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</si>
  <si>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</si>
  <si>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</si>
  <si>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</si>
  <si>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</si>
  <si>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</si>
  <si>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</si>
  <si>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</si>
  <si>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</si>
  <si>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</si>
  <si>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</si>
  <si>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</si>
  <si>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</si>
  <si>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</si>
  <si>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</si>
  <si>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</si>
  <si>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</si>
  <si>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</si>
  <si>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</si>
  <si>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</si>
  <si>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</si>
  <si>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</si>
  <si>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</si>
  <si>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</si>
  <si>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</si>
  <si>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</si>
  <si>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</si>
  <si>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</si>
  <si>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</si>
  <si>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</si>
  <si>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</si>
  <si>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</si>
  <si>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</si>
  <si>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</si>
  <si>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</si>
  <si>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</si>
  <si>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</si>
  <si>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</si>
  <si>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</si>
  <si>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</si>
  <si>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</si>
  <si>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</si>
  <si>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</si>
  <si>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</si>
  <si>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</si>
  <si>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</si>
  <si>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</si>
  <si>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</si>
  <si>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</si>
  <si>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</si>
  <si>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</si>
  <si>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</si>
  <si>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</si>
  <si>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</si>
  <si>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</si>
  <si>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</si>
  <si>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</si>
  <si>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</si>
  <si>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</si>
  <si>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</si>
  <si>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</si>
  <si>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</si>
  <si>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</si>
  <si>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</si>
  <si>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</si>
  <si>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</si>
  <si>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</si>
  <si>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</si>
  <si>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</si>
  <si>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</si>
  <si>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</si>
  <si>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</si>
  <si>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</si>
  <si>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</si>
  <si>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</si>
  <si>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</si>
  <si>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</si>
  <si>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</si>
  <si>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</si>
  <si>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</si>
  <si>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</si>
  <si>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</si>
  <si>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</si>
  <si>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</si>
  <si>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</si>
  <si>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</si>
  <si>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</si>
  <si>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</si>
  <si>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</si>
  <si>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</si>
  <si>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</si>
  <si>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</si>
  <si>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</si>
  <si>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</si>
  <si>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</si>
  <si>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</si>
  <si>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</si>
  <si>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</si>
  <si>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</si>
  <si>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</si>
  <si>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</si>
  <si>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</si>
  <si>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</si>
  <si>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</si>
  <si>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</si>
  <si>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</si>
  <si>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</si>
  <si>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</si>
  <si>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</si>
  <si>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</si>
  <si>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</si>
  <si>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</si>
  <si>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</si>
  <si>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</si>
  <si>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</si>
  <si>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</si>
  <si>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</si>
  <si>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</si>
  <si>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</si>
  <si>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</si>
  <si>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</si>
  <si>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</si>
  <si>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</si>
  <si>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</si>
  <si>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</si>
  <si>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</si>
  <si>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</si>
  <si>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</si>
  <si>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</si>
  <si>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</si>
  <si>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</si>
  <si>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</si>
  <si>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</si>
  <si>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</si>
  <si>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</si>
  <si>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</si>
  <si>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</si>
  <si>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</si>
  <si>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</si>
  <si>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</si>
  <si>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</si>
  <si>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</si>
  <si>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</si>
  <si>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</si>
  <si>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</si>
  <si>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</si>
  <si>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</si>
  <si>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</si>
  <si>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</si>
  <si>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</si>
  <si>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</si>
  <si>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</si>
  <si>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</si>
  <si>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</si>
  <si>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</si>
  <si>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</si>
  <si>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</si>
  <si>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</si>
  <si>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</si>
  <si>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</si>
  <si>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</si>
  <si>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</si>
  <si>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</si>
  <si>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</si>
  <si>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</si>
  <si>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</si>
  <si>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</si>
  <si>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</si>
  <si>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</si>
  <si>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</si>
  <si>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</si>
  <si>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</si>
  <si>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</si>
  <si>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</si>
  <si>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</si>
  <si>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</si>
  <si>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</si>
  <si>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</si>
  <si>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</si>
  <si>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</si>
  <si>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</si>
  <si>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</si>
  <si>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</si>
  <si>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</si>
  <si>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</si>
  <si>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</si>
  <si>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</si>
  <si>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</si>
  <si>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</si>
  <si>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</si>
  <si>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</si>
  <si>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</si>
  <si>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</si>
  <si>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</si>
  <si>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</si>
  <si>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</si>
  <si>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</si>
  <si>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</si>
  <si>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</si>
  <si>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</si>
  <si>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</si>
  <si>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</si>
  <si>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</si>
  <si>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</si>
  <si>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</si>
  <si>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</si>
  <si>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</si>
  <si>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</si>
  <si>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</si>
  <si>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</si>
  <si>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</si>
  <si>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</si>
  <si>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</si>
  <si>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</si>
  <si>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</si>
  <si>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</si>
  <si>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</si>
  <si>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</si>
  <si>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</si>
  <si>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</si>
  <si>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</si>
  <si>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</si>
  <si>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</si>
  <si>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</si>
  <si>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</si>
  <si>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</si>
  <si>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</si>
  <si>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</si>
  <si>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</si>
  <si>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</si>
  <si>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</si>
  <si>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</si>
  <si>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</si>
  <si>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</si>
  <si>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</si>
  <si>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</si>
  <si>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</si>
  <si>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</si>
  <si>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</si>
  <si>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</si>
  <si>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</si>
  <si>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</si>
  <si>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</si>
  <si>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</si>
  <si>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</si>
  <si>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</si>
  <si>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</si>
  <si>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</si>
  <si>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</si>
  <si>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</si>
  <si>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</si>
  <si>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</si>
  <si>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</si>
  <si>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</si>
  <si>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</si>
  <si>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</si>
  <si>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</si>
  <si>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</si>
  <si>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</si>
  <si>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</si>
  <si>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</si>
  <si>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</si>
  <si>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</si>
  <si>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</si>
  <si>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</si>
  <si>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</si>
  <si>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</si>
  <si>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</si>
  <si>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</si>
  <si>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</si>
  <si>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</si>
  <si>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</si>
  <si>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</si>
  <si>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</si>
  <si>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</si>
  <si>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</si>
  <si>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</si>
  <si>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</si>
  <si>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</si>
  <si>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</si>
  <si>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</si>
  <si>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</si>
  <si>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</si>
  <si>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</si>
  <si>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</si>
  <si>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</si>
  <si>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</si>
  <si>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</si>
  <si>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</si>
  <si>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</si>
  <si>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</si>
  <si>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</si>
  <si>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</si>
  <si>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</si>
  <si>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</si>
  <si>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</si>
  <si>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</si>
  <si>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</si>
  <si>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</si>
  <si>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</si>
  <si>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</si>
  <si>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</si>
  <si>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</si>
  <si>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</si>
  <si>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</si>
  <si>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</si>
  <si>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</si>
  <si>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</si>
  <si>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</si>
  <si>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</si>
  <si>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</si>
  <si>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</si>
  <si>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</si>
  <si>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</si>
  <si>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</si>
  <si>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</si>
  <si>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</si>
  <si>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</si>
  <si>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</si>
  <si>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</si>
  <si>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</si>
  <si>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</si>
  <si>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</si>
  <si>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</si>
  <si>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</si>
  <si>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</si>
  <si>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</si>
  <si>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</si>
  <si>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</si>
  <si>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</si>
  <si>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</si>
  <si>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</si>
  <si>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</si>
  <si>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</si>
  <si>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</si>
  <si>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</si>
  <si>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</si>
  <si>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</si>
  <si>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</si>
  <si>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</si>
  <si>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</si>
  <si>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</si>
  <si>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</si>
  <si>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</si>
  <si>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</si>
  <si>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</si>
  <si>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</si>
  <si>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</si>
  <si>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</si>
  <si>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</si>
  <si>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</si>
  <si>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</si>
  <si>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</si>
  <si>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</si>
  <si>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</si>
  <si>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</si>
  <si>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</si>
  <si>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</si>
  <si>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</si>
  <si>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</si>
  <si>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</si>
  <si>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</si>
  <si>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</si>
  <si>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</si>
  <si>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</si>
  <si>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</si>
  <si>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</si>
  <si>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</si>
  <si>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</si>
  <si>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</si>
  <si>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</si>
  <si>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</si>
  <si>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</si>
  <si>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</si>
  <si>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</si>
  <si>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</si>
  <si>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</si>
  <si>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</si>
  <si>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</si>
  <si>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</si>
  <si>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</si>
  <si>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</si>
  <si>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</si>
  <si>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</si>
  <si>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</si>
  <si>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</si>
  <si>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</si>
  <si>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</si>
  <si>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</si>
  <si>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</si>
  <si>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</si>
  <si>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</si>
  <si>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</si>
  <si>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</si>
  <si>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</si>
  <si>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</si>
  <si>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</si>
  <si>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</si>
  <si>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</si>
  <si>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</si>
  <si>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</si>
  <si>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</si>
  <si>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</si>
  <si>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</si>
  <si>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</si>
  <si>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</si>
  <si>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</si>
  <si>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</si>
  <si>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</si>
  <si>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</si>
  <si>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</si>
  <si>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</si>
  <si>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</si>
  <si>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</si>
  <si>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</si>
  <si>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</si>
  <si>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</si>
  <si>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</si>
  <si>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</si>
  <si>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</si>
  <si>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</si>
  <si>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</si>
  <si>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</si>
  <si>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</si>
  <si>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</si>
  <si>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</si>
  <si>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</si>
  <si>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</si>
  <si>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</si>
  <si>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</si>
  <si>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</si>
  <si>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</si>
  <si>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</si>
  <si>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</si>
  <si>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</si>
  <si>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</si>
  <si>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</si>
  <si>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</si>
  <si>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</si>
  <si>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</si>
  <si>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</si>
  <si>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</si>
  <si>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</si>
  <si>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</si>
  <si>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</si>
  <si>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</si>
  <si>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</si>
  <si>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</si>
  <si>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</si>
  <si>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</si>
  <si>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</si>
  <si>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</si>
  <si>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</si>
  <si>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</si>
  <si>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</si>
  <si>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</si>
  <si>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</si>
  <si>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</si>
  <si>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</si>
  <si>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</si>
  <si>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</si>
  <si>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</si>
  <si>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</si>
  <si>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</si>
  <si>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</si>
  <si>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</si>
  <si>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</si>
  <si>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</si>
  <si>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</si>
  <si>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</si>
  <si>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</si>
  <si>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</si>
  <si>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</si>
  <si>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</si>
  <si>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</si>
  <si>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</si>
  <si>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</si>
  <si>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</si>
  <si>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</si>
  <si>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</si>
  <si>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</si>
  <si>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</si>
  <si>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</si>
  <si>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</si>
  <si>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</si>
  <si>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</si>
  <si>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</si>
  <si>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</si>
  <si>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</si>
  <si>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</si>
  <si>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</si>
  <si>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</si>
  <si>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</si>
  <si>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</si>
  <si>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</si>
  <si>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</si>
  <si>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</si>
  <si>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</si>
  <si>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</si>
  <si>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</si>
  <si>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</si>
  <si>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</si>
  <si>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</si>
  <si>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</si>
  <si>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</si>
  <si>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</si>
  <si>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</si>
  <si>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</si>
  <si>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</si>
  <si>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</si>
  <si>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</si>
  <si>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</si>
  <si>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</si>
  <si>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</si>
  <si>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</si>
  <si>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</si>
  <si>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</si>
  <si>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</si>
  <si>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</si>
  <si>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</si>
  <si>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</si>
  <si>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</si>
  <si>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</si>
  <si>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</si>
  <si>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</si>
  <si>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</si>
  <si>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</si>
  <si>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</si>
  <si>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</si>
  <si>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</si>
  <si>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</si>
  <si>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</si>
  <si>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</si>
  <si>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</si>
  <si>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</si>
  <si>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</si>
  <si>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</si>
  <si>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</si>
  <si>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</si>
  <si>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</si>
  <si>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</si>
  <si>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</si>
  <si>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</si>
  <si>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</si>
  <si>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</si>
  <si>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</si>
  <si>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</si>
  <si>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</si>
  <si>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</si>
  <si>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</si>
  <si>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</si>
  <si>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</si>
  <si>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</si>
  <si>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</si>
  <si>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</si>
  <si>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</si>
  <si>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</si>
  <si>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</si>
  <si>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</si>
  <si>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</si>
  <si>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</si>
  <si>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</si>
  <si>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</si>
  <si>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</si>
  <si>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</si>
  <si>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</si>
  <si>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</si>
  <si>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</si>
  <si>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</si>
  <si>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</si>
  <si>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</si>
  <si>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</si>
  <si>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</si>
  <si>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</si>
  <si>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</si>
  <si>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</si>
  <si>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</si>
  <si>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</si>
  <si>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</si>
  <si>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</si>
  <si>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</si>
  <si>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</si>
  <si>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</si>
  <si>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</si>
  <si>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</si>
  <si>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</si>
  <si>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</si>
  <si>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</si>
  <si>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</si>
  <si>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</si>
  <si>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</si>
  <si>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</si>
  <si>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</si>
  <si>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</si>
  <si>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</si>
  <si>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</si>
  <si>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</si>
  <si>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</si>
  <si>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</si>
  <si>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</si>
  <si>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</si>
  <si>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</si>
  <si>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</si>
  <si>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</si>
  <si>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</si>
  <si>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</si>
  <si>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</si>
  <si>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</si>
  <si>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</si>
  <si>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</si>
  <si>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</si>
  <si>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</si>
  <si>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</si>
  <si>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</si>
  <si>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</si>
  <si>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</si>
  <si>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</si>
  <si>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</si>
  <si>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</si>
  <si>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</si>
  <si>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</si>
  <si>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</si>
  <si>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</si>
  <si>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</si>
  <si>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</si>
  <si>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</si>
  <si>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</si>
  <si>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</si>
  <si>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</si>
  <si>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</si>
  <si>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</si>
  <si>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</si>
  <si>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</si>
  <si>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</si>
  <si>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</si>
  <si>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</si>
  <si>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</si>
  <si>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</si>
  <si>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</si>
  <si>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</si>
  <si>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</si>
  <si>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</si>
  <si>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</si>
  <si>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</si>
  <si>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</si>
  <si>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</si>
  <si>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</si>
  <si>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</si>
  <si>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</si>
  <si>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</si>
  <si>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</si>
  <si>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</si>
  <si>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</si>
  <si>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</si>
  <si>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</si>
  <si>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</si>
  <si>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</si>
  <si>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</si>
  <si>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</si>
  <si>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</si>
  <si>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</si>
  <si>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</si>
  <si>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</si>
  <si>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</si>
  <si>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</si>
  <si>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</si>
  <si>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</si>
  <si>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</si>
  <si>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</si>
  <si>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</si>
  <si>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</si>
  <si>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</si>
  <si>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</si>
  <si>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</si>
  <si>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</si>
  <si>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</si>
  <si>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</si>
  <si>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</si>
  <si>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</si>
  <si>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</si>
  <si>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</si>
  <si>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</si>
  <si>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</si>
  <si>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</si>
  <si>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</si>
  <si>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</si>
  <si>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</si>
  <si>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</si>
  <si>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</si>
  <si>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</si>
  <si>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</si>
  <si>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</si>
  <si>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</si>
  <si>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</si>
  <si>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</si>
  <si>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</si>
  <si>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</si>
  <si>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</si>
  <si>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</si>
  <si>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</si>
  <si>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</si>
  <si>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</si>
  <si>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</si>
  <si>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</si>
  <si>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</si>
  <si>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</si>
  <si>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</si>
  <si>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</si>
  <si>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</si>
  <si>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</si>
  <si>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</si>
  <si>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</si>
  <si>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</si>
  <si>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</si>
  <si>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</si>
  <si>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</si>
  <si>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</si>
  <si>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</si>
  <si>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</si>
  <si>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</si>
  <si>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</si>
  <si>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</si>
  <si>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</si>
  <si>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</si>
  <si>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</si>
  <si>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</si>
  <si>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</si>
  <si>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</si>
  <si>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</si>
  <si>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</si>
  <si>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</si>
  <si>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</si>
  <si>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</si>
  <si>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</si>
  <si>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</si>
  <si>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</si>
  <si>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</si>
  <si>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</si>
  <si>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</si>
  <si>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</si>
  <si>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</si>
  <si>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</si>
  <si>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</si>
  <si>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</si>
  <si>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</si>
  <si>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</si>
  <si>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</si>
  <si>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</si>
  <si>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</si>
  <si>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</si>
  <si>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</si>
  <si>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</si>
  <si>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</si>
  <si>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</si>
  <si>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</si>
  <si>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</si>
  <si>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</si>
  <si>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</si>
  <si>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</si>
  <si>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</si>
  <si>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</si>
  <si>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</si>
  <si>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</si>
  <si>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</si>
  <si>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</si>
  <si>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</si>
  <si>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</si>
  <si>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</si>
  <si>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</si>
  <si>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</si>
  <si>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</si>
  <si>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</si>
  <si>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</si>
  <si>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</si>
  <si>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</si>
  <si>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</si>
  <si>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</si>
  <si>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</si>
  <si>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</si>
  <si>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</si>
  <si>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</si>
  <si>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</si>
  <si>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</si>
  <si>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</si>
  <si>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</si>
  <si>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</si>
  <si>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</si>
  <si>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</si>
  <si>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</si>
  <si>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</si>
  <si>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</si>
  <si>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</si>
  <si>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</si>
  <si>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</si>
  <si>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</si>
  <si>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</si>
  <si>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</si>
  <si>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</si>
  <si>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</si>
  <si>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</si>
  <si>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</si>
  <si>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</si>
  <si>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</si>
  <si>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</si>
  <si>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</si>
  <si>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</si>
  <si>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</si>
  <si>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</si>
  <si>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</si>
  <si>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</si>
  <si>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</si>
  <si>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</si>
  <si>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</si>
  <si>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</si>
  <si>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</si>
  <si>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</si>
  <si>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</si>
  <si>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</si>
  <si>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</si>
  <si>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</si>
  <si>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</si>
  <si>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</si>
  <si>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</si>
  <si>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</si>
  <si>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</si>
  <si>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</si>
  <si>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</si>
  <si>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</si>
  <si>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</si>
  <si>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</si>
  <si>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</si>
  <si>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</si>
  <si>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</si>
  <si>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</si>
  <si>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</si>
  <si>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</si>
  <si>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</si>
  <si>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</si>
  <si>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</si>
  <si>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</si>
  <si>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</si>
  <si>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</si>
  <si>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</si>
  <si>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</si>
  <si>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</si>
  <si>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</si>
  <si>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</si>
  <si>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</si>
  <si>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</si>
  <si>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</si>
  <si>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</si>
  <si>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</si>
  <si>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</si>
  <si>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</si>
  <si>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</si>
  <si>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</si>
  <si>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</si>
  <si>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</si>
  <si>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</si>
  <si>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</si>
  <si>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</si>
  <si>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</si>
  <si>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</si>
  <si>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</si>
  <si>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</si>
  <si>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</si>
  <si>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</si>
  <si>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</si>
  <si>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</si>
  <si>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</si>
  <si>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</si>
  <si>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</si>
  <si>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</si>
  <si>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</si>
  <si>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</si>
  <si>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</si>
  <si>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</si>
  <si>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</si>
  <si>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</si>
  <si>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</si>
  <si>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</si>
  <si>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</si>
  <si>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</si>
  <si>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</si>
  <si>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</si>
  <si>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</si>
  <si>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</si>
  <si>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</si>
  <si>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</si>
  <si>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</si>
  <si>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</si>
  <si>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</si>
  <si>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</si>
  <si>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</si>
  <si>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</si>
  <si>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</si>
  <si>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</si>
  <si>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</si>
  <si>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</si>
  <si>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</si>
  <si>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</si>
  <si>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</si>
  <si>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</si>
  <si>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</si>
  <si>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</si>
  <si>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</si>
  <si>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</si>
  <si>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</si>
  <si>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</si>
  <si>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</si>
  <si>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</si>
  <si>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</si>
  <si>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</si>
  <si>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</si>
  <si>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</si>
  <si>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</si>
  <si>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</si>
  <si>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</si>
  <si>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</si>
  <si>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</si>
  <si>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</si>
  <si>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</si>
  <si>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</si>
  <si>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</si>
  <si>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</si>
  <si>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</si>
  <si>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</si>
  <si>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</si>
  <si>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</si>
  <si>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</si>
  <si>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</si>
  <si>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</si>
  <si>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</si>
  <si>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</si>
  <si>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</si>
  <si>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</si>
  <si>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</si>
  <si>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</si>
  <si>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</si>
  <si>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</si>
  <si>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</si>
  <si>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</si>
  <si>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</si>
  <si>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</si>
  <si>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</si>
  <si>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</si>
  <si>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</si>
  <si>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</si>
  <si>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</si>
  <si>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</si>
  <si>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</si>
  <si>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</si>
  <si>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</si>
  <si>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</si>
  <si>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</si>
  <si>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</si>
  <si>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</si>
  <si>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</si>
  <si>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</si>
  <si>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</si>
  <si>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</si>
  <si>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</si>
  <si>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</si>
  <si>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</si>
  <si>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</si>
  <si>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</si>
  <si>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</si>
  <si>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</si>
  <si>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</si>
  <si>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</si>
  <si>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</si>
  <si>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</si>
  <si>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</si>
  <si>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</si>
  <si>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</si>
  <si>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</si>
  <si>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</si>
  <si>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</si>
  <si>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</si>
  <si>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</si>
  <si>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</si>
  <si>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</si>
  <si>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</si>
  <si>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</si>
  <si>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</si>
  <si>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</si>
  <si>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</si>
  <si>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</si>
  <si>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</si>
  <si>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</si>
  <si>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</si>
  <si>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</si>
  <si>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</si>
  <si>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</si>
  <si>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</si>
  <si>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</si>
  <si>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</si>
  <si>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</si>
  <si>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</si>
  <si>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</si>
  <si>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</si>
  <si>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</si>
  <si>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</si>
  <si>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</si>
  <si>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</si>
  <si>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</si>
  <si>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</si>
  <si>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</si>
  <si>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</si>
  <si>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</si>
  <si>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</si>
  <si>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</si>
  <si>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</si>
  <si>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</si>
  <si>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</si>
  <si>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</si>
  <si>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</si>
  <si>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</si>
  <si>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</si>
  <si>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</si>
  <si>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</si>
  <si>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</si>
  <si>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</si>
  <si>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</si>
  <si>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</si>
  <si>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</si>
  <si>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</si>
  <si>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</si>
  <si>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</si>
  <si>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</si>
  <si>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</si>
  <si>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</si>
  <si>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</si>
  <si>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</si>
  <si>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</si>
  <si>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</si>
  <si>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</si>
  <si>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</si>
  <si>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</si>
  <si>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</si>
  <si>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</si>
  <si>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</si>
  <si>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</si>
  <si>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</si>
  <si>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</si>
  <si>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</si>
  <si>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</si>
  <si>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</si>
  <si>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</si>
  <si>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</si>
  <si>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</si>
  <si>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</si>
  <si>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</si>
  <si>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</si>
  <si>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</si>
  <si>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</si>
  <si>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</si>
  <si>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</si>
  <si>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</si>
  <si>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</si>
  <si>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</si>
  <si>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</si>
  <si>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</si>
  <si>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</si>
  <si>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</si>
  <si>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</si>
  <si>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</si>
  <si>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</si>
  <si>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</si>
  <si>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</si>
  <si>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</si>
  <si>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</si>
  <si>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</si>
  <si>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</si>
  <si>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</si>
  <si>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</si>
  <si>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</si>
  <si>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</si>
  <si>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</si>
  <si>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</si>
  <si>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</si>
  <si>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</si>
  <si>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</si>
  <si>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</si>
  <si>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</si>
  <si>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</si>
  <si>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</si>
  <si>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</si>
  <si>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</si>
  <si>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</si>
  <si>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</si>
  <si>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</si>
  <si>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</si>
  <si>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</si>
  <si>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</si>
  <si>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</si>
  <si>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</si>
  <si>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</si>
  <si>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</si>
  <si>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</si>
  <si>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</si>
  <si>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</si>
  <si>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</si>
  <si>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</si>
  <si>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</si>
  <si>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</si>
  <si>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</si>
  <si>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</si>
  <si>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</si>
  <si>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</si>
  <si>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</si>
  <si>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</si>
  <si>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</si>
  <si>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</si>
  <si>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</si>
  <si>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</si>
  <si>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</si>
  <si>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</si>
  <si>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</si>
  <si>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</si>
  <si>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</si>
  <si>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</si>
  <si>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</si>
  <si>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</si>
  <si>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</si>
  <si>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</si>
  <si>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</si>
  <si>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</si>
  <si>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</si>
  <si>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</si>
  <si>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</si>
  <si>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</si>
  <si>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</si>
  <si>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</si>
  <si>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</si>
  <si>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</si>
  <si>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</si>
  <si>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</si>
  <si>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</si>
  <si>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</si>
  <si>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</si>
  <si>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Revenue before discount</t>
  </si>
  <si>
    <t>Revenue after discount</t>
  </si>
  <si>
    <t>Discount Amount</t>
  </si>
  <si>
    <t>Paneer Tikka Pizzabun</t>
  </si>
  <si>
    <t>Online</t>
  </si>
  <si>
    <t>Crispy Chole Pizzabun</t>
  </si>
  <si>
    <t>Physical Visit</t>
  </si>
  <si>
    <t>Large Paneer Tikka Pizzabun</t>
  </si>
  <si>
    <t>Medium Crispy Chole Pizzabun</t>
  </si>
  <si>
    <t>Minty Pizzabun</t>
  </si>
  <si>
    <t>Aloo Shots Pizzabun</t>
  </si>
  <si>
    <t>Total Orders</t>
  </si>
  <si>
    <t>Total Revenue</t>
  </si>
  <si>
    <t>Average Revenue</t>
  </si>
  <si>
    <t>Average Discount Given</t>
  </si>
  <si>
    <t>Count of Revenue after discount</t>
  </si>
  <si>
    <t>Average of Revenue after discount</t>
  </si>
  <si>
    <t>Average of Discount Amount</t>
  </si>
  <si>
    <t>No. of orders</t>
  </si>
  <si>
    <t>Revenue (₹)</t>
  </si>
  <si>
    <t>Sum of Revenue after discount</t>
  </si>
  <si>
    <t>13-Jun</t>
  </si>
  <si>
    <t>14-Jun</t>
  </si>
  <si>
    <t>15-Jun</t>
  </si>
  <si>
    <t>16-Jun</t>
  </si>
  <si>
    <t>17-Jun</t>
  </si>
  <si>
    <t>18-Jun</t>
  </si>
  <si>
    <t>19-Jun</t>
  </si>
  <si>
    <t>20-Jun</t>
  </si>
  <si>
    <t>21-Jun</t>
  </si>
  <si>
    <t>22-Jun</t>
  </si>
  <si>
    <t>23-Jun</t>
  </si>
  <si>
    <t>24-Jun</t>
  </si>
  <si>
    <t>25-Jun</t>
  </si>
  <si>
    <t>26-Jun</t>
  </si>
  <si>
    <t>27-Jun</t>
  </si>
  <si>
    <t>28-Jun</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</si>
  <si>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</si>
  <si>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</si>
  <si>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</si>
  <si>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</si>
  <si>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</si>
  <si>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</si>
  <si>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</si>
  <si>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</si>
  <si>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</si>
  <si>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</si>
  <si>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</si>
  <si>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</si>
  <si>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</si>
  <si>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</si>
  <si>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</si>
  <si>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</si>
  <si>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</si>
  <si>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</si>
  <si>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</si>
  <si>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</si>
  <si>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</si>
  <si>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</si>
  <si>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</si>
  <si>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</si>
  <si>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</si>
  <si>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</si>
  <si>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</si>
  <si>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</si>
  <si>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</si>
  <si>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</si>
  <si>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</si>
  <si>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</si>
  <si>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</si>
  <si>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</si>
  <si>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</si>
  <si>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</si>
  <si>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</si>
  <si>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</si>
  <si>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</si>
  <si>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</si>
  <si>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</si>
  <si>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</si>
  <si>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Orders Data</t>
  </si>
  <si>
    <t>CrustBite Orders Analysis Dashboard Business Questions</t>
  </si>
  <si>
    <t>1. How do total orders, total revenue, average revenue, and average discount vary across the selected order types?</t>
  </si>
  <si>
    <t>2. Which products are ordered most frequently, and how does their revenue performance compare?</t>
  </si>
  <si>
    <t>3. How does the number of orders vary over time on a daily basis?</t>
  </si>
  <si>
    <t>4. How does revenue vary over time on a daily basis?</t>
  </si>
  <si>
    <t>5. How does revenue performance vary across products?</t>
  </si>
  <si>
    <t>6. How does order performance differ between Online and Physical Visit orders?</t>
  </si>
  <si>
    <t>Business Objective / Insight</t>
  </si>
  <si>
    <t>This analysis aims to understand order performance by examining order volume, revenue generation, average revenue, discount activity, product-level performance, and sales trends over time. It also compares order patterns between Online and Physical Visit orders to identify differences in order activity and revenue performance. These insights can help identify sales trends, differences in product performance, changes in order volume, and variations in revenue across different order types.</t>
  </si>
  <si>
    <t>01-Jul</t>
  </si>
  <si>
    <t>02-Jul</t>
  </si>
  <si>
    <t>03-Jul</t>
  </si>
  <si>
    <t>04-Jul</t>
  </si>
  <si>
    <t>05-Jul</t>
  </si>
  <si>
    <t>06-Jul</t>
  </si>
  <si>
    <t>07-Jul</t>
  </si>
  <si>
    <t>08-Jul</t>
  </si>
  <si>
    <t>09-Jul</t>
  </si>
  <si>
    <t>01-Aug</t>
  </si>
  <si>
    <t>02-Aug</t>
  </si>
  <si>
    <t>03-Aug</t>
  </si>
  <si>
    <t>04-Aug</t>
  </si>
  <si>
    <t>05-Aug</t>
  </si>
  <si>
    <t>06-Aug</t>
  </si>
  <si>
    <t>07-Aug</t>
  </si>
  <si>
    <t>08-Aug</t>
  </si>
  <si>
    <t>09-Aug</t>
  </si>
  <si>
    <t>01-Sep</t>
  </si>
  <si>
    <t>02-Sep</t>
  </si>
  <si>
    <t>03-Sep</t>
  </si>
  <si>
    <t>04-Sep</t>
  </si>
  <si>
    <t>05-Sep</t>
  </si>
  <si>
    <t>Product Sales Performance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</si>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</sst>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quot;₹&quot;\-#,##0.00"/>
    <numFmt numFmtId="165" formatCode="&quot;₹&quot;\ #,##0"/>
    <numFmt numFmtId="166" formatCode="&quot;₹&quot;\ #,##0.00"/>
  </numFmts>
  <fonts count="10">
    <font>
      <sz val="11"/>
      <color theme="1"/>
      <name val="Verdana"/>
      <charset val="134"/>
      <scheme val="minor"/>
    </font>
    <font>
      <b/>
      <sz val="11"/>
      <color rgb="FF000000"/>
      <name val="Verdana"/>
      <family val="2"/>
      <scheme val="minor"/>
    </font>
    <font>
      <b/>
      <sz val="11"/>
      <color theme="0"/>
      <name val="Verdana"/>
      <family val="2"/>
      <scheme val="minor"/>
    </font>
    <font>
      <b/>
      <sz val="18"/>
      <color theme="1"/>
      <name val="Arial Nova Cond"/>
      <family val="2"/>
    </font>
    <font>
      <sz val="11"/>
      <color theme="1"/>
      <name val="Aptos"/>
      <family val="2"/>
    </font>
    <font>
      <b/>
      <sz val="11"/>
      <color theme="0"/>
      <name val="Aptos"/>
      <family val="2"/>
    </font>
    <font>
      <b/>
      <sz val="11"/>
      <color rgb="FF000000"/>
      <name val="Aptos"/>
      <family val="2"/>
    </font>
    <font>
      <b/>
      <sz val="11"/>
      <color theme="1"/>
      <name val="Aptos"/>
      <family val="2"/>
    </font>
    <font>
      <b/>
      <sz val="11"/>
      <color theme="1"/>
      <name val="Arial Nova Cond"/>
      <family val="2"/>
    </font>
    <font>
      <b/>
      <sz val="24"/>
      <color theme="1"/>
      <name val="Aptos"/>
      <family val="2"/>
    </font>
  </fonts>
  <fills count="8">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0"/>
        <bgColor indexed="64"/>
      </patternFill>
    </fill>
  </fills>
  <borders count="6">
    <border>
      <left/>
      <right/>
      <top/>
      <bottom/>
      <diagonal/>
    </border>
    <border>
      <left/>
      <right style="thin">
        <color theme="4" tint="0.39994506668294322"/>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52">
    <xf numFmtId="0" fontId="0" fillId="0" borderId="0" xfId="0"/>
    <xf numFmtId="0" fontId="1" fillId="0" borderId="0" xfId="0" applyFont="1"/>
    <xf numFmtId="15" fontId="0" fillId="0" borderId="0" xfId="0" applyNumberFormat="1" applyAlignment="1">
      <alignment horizontal="center"/>
    </xf>
    <xf numFmtId="14" fontId="0" fillId="0" borderId="0" xfId="0" applyNumberFormat="1"/>
    <xf numFmtId="0" fontId="2" fillId="4" borderId="0" xfId="0" applyFont="1" applyFill="1"/>
    <xf numFmtId="14" fontId="2" fillId="4" borderId="0" xfId="0" applyNumberFormat="1" applyFont="1" applyFill="1"/>
    <xf numFmtId="0" fontId="2" fillId="4" borderId="1" xfId="0" applyFont="1" applyFill="1" applyBorder="1"/>
    <xf numFmtId="0" fontId="3" fillId="2" borderId="0" xfId="0" applyFont="1" applyFill="1" applyAlignment="1">
      <alignment vertical="top"/>
    </xf>
    <xf numFmtId="0" fontId="4" fillId="2" borderId="0" xfId="0" applyFont="1" applyFill="1"/>
    <xf numFmtId="0" fontId="4" fillId="2" borderId="0" xfId="0" applyFont="1" applyFill="1" applyAlignment="1">
      <alignment vertical="center"/>
    </xf>
    <xf numFmtId="0" fontId="5" fillId="4" borderId="4" xfId="0" applyFont="1" applyFill="1" applyBorder="1"/>
    <xf numFmtId="0" fontId="4" fillId="0" borderId="0" xfId="0" applyFont="1"/>
    <xf numFmtId="0" fontId="4" fillId="5" borderId="4" xfId="0" applyFont="1" applyFill="1" applyBorder="1"/>
    <xf numFmtId="15" fontId="4" fillId="5" borderId="4" xfId="0" applyNumberFormat="1" applyFont="1" applyFill="1" applyBorder="1" applyAlignment="1">
      <alignment horizontal="center"/>
    </xf>
    <xf numFmtId="0" fontId="4" fillId="5" borderId="4" xfId="0" applyFont="1" applyFill="1" applyBorder="1" applyAlignment="1">
      <alignment horizontal="center"/>
    </xf>
    <xf numFmtId="9" fontId="4" fillId="5" borderId="4" xfId="0" applyNumberFormat="1" applyFont="1" applyFill="1" applyBorder="1"/>
    <xf numFmtId="0" fontId="4" fillId="0" borderId="4" xfId="0" applyFont="1" applyBorder="1"/>
    <xf numFmtId="15" fontId="4" fillId="0" borderId="4" xfId="0" applyNumberFormat="1" applyFont="1" applyBorder="1" applyAlignment="1">
      <alignment horizontal="center"/>
    </xf>
    <xf numFmtId="0" fontId="4" fillId="0" borderId="4" xfId="0" applyFont="1" applyBorder="1" applyAlignment="1">
      <alignment horizontal="center"/>
    </xf>
    <xf numFmtId="9" fontId="4" fillId="0" borderId="4" xfId="0" applyNumberFormat="1" applyFont="1" applyBorder="1"/>
    <xf numFmtId="0" fontId="4" fillId="0" borderId="2" xfId="0" applyFont="1" applyBorder="1"/>
    <xf numFmtId="15" fontId="4" fillId="0" borderId="2" xfId="0" applyNumberFormat="1" applyFont="1" applyBorder="1" applyAlignment="1">
      <alignment horizontal="center"/>
    </xf>
    <xf numFmtId="0" fontId="4" fillId="0" borderId="2" xfId="0" applyFont="1" applyBorder="1" applyAlignment="1">
      <alignment horizontal="center"/>
    </xf>
    <xf numFmtId="9" fontId="4" fillId="0" borderId="2" xfId="0" applyNumberFormat="1" applyFont="1" applyBorder="1"/>
    <xf numFmtId="0" fontId="6" fillId="0" borderId="0" xfId="0" applyFont="1"/>
    <xf numFmtId="0" fontId="4" fillId="0" borderId="0" xfId="0" applyFont="1" applyAlignment="1">
      <alignment wrapText="1"/>
    </xf>
    <xf numFmtId="164" fontId="4" fillId="0" borderId="0" xfId="0" applyNumberFormat="1" applyFont="1"/>
    <xf numFmtId="0" fontId="8" fillId="0" borderId="0" xfId="0" applyFont="1"/>
    <xf numFmtId="0" fontId="4" fillId="3" borderId="0" xfId="0" applyFont="1" applyFill="1"/>
    <xf numFmtId="165" fontId="4" fillId="2" borderId="0" xfId="0" applyNumberFormat="1" applyFont="1" applyFill="1"/>
    <xf numFmtId="165" fontId="5" fillId="4" borderId="4" xfId="0" applyNumberFormat="1" applyFont="1" applyFill="1" applyBorder="1"/>
    <xf numFmtId="165" fontId="4" fillId="5" borderId="4" xfId="0" applyNumberFormat="1" applyFont="1" applyFill="1" applyBorder="1"/>
    <xf numFmtId="165" fontId="4" fillId="0" borderId="4" xfId="0" applyNumberFormat="1" applyFont="1" applyBorder="1"/>
    <xf numFmtId="165" fontId="4" fillId="0" borderId="2" xfId="0" applyNumberFormat="1" applyFont="1" applyBorder="1"/>
    <xf numFmtId="165" fontId="4" fillId="0" borderId="0" xfId="0" applyNumberFormat="1" applyFont="1"/>
    <xf numFmtId="165" fontId="5" fillId="4" borderId="5" xfId="0" applyNumberFormat="1" applyFont="1" applyFill="1" applyBorder="1"/>
    <xf numFmtId="165" fontId="4" fillId="5" borderId="5" xfId="0" applyNumberFormat="1" applyFont="1" applyFill="1" applyBorder="1"/>
    <xf numFmtId="165" fontId="4" fillId="0" borderId="5" xfId="0" applyNumberFormat="1" applyFont="1" applyBorder="1"/>
    <xf numFmtId="165" fontId="4" fillId="0" borderId="3" xfId="0" applyNumberFormat="1" applyFont="1" applyBorder="1"/>
    <xf numFmtId="0" fontId="4" fillId="0" borderId="0" xfId="0" pivotButton="1" applyFont="1"/>
    <xf numFmtId="15" fontId="4" fillId="0" borderId="0" xfId="0" applyNumberFormat="1" applyFont="1"/>
    <xf numFmtId="3" fontId="4" fillId="0" borderId="0" xfId="0" applyNumberFormat="1" applyFont="1"/>
    <xf numFmtId="166" fontId="4" fillId="0" borderId="0" xfId="0" applyNumberFormat="1" applyFont="1"/>
    <xf numFmtId="0" fontId="8" fillId="6" borderId="0" xfId="0" applyFont="1" applyFill="1"/>
    <xf numFmtId="0" fontId="6" fillId="6" borderId="0" xfId="0" applyFont="1" applyFill="1"/>
    <xf numFmtId="0" fontId="7" fillId="6" borderId="0" xfId="0" applyFont="1" applyFill="1"/>
    <xf numFmtId="0" fontId="8" fillId="6" borderId="0" xfId="0" applyFont="1" applyFill="1" applyAlignment="1">
      <alignment horizontal="center" vertical="center"/>
    </xf>
    <xf numFmtId="0" fontId="9" fillId="2" borderId="0" xfId="0" applyFont="1" applyFill="1" applyAlignment="1">
      <alignment vertical="center"/>
    </xf>
    <xf numFmtId="0" fontId="4" fillId="7" borderId="0" xfId="0" applyFont="1" applyFill="1"/>
    <xf numFmtId="0" fontId="4" fillId="6" borderId="0" xfId="0" applyFont="1" applyFill="1"/>
    <xf numFmtId="0" fontId="9" fillId="7" borderId="0" xfId="0" applyFont="1" applyFill="1" applyAlignment="1">
      <alignment vertical="center"/>
    </xf>
    <xf numFmtId="0" fontId="4" fillId="0" borderId="0" xfId="0" applyNumberFormat="1" applyFont="1"/>
  </cellXfs>
  <cellStyles count="1">
    <cellStyle name="Normal" xfId="0" builtinId="0"/>
  </cellStyles>
  <dxfs count="348">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name val="Aptos"/>
        <family val="2"/>
        <scheme val="none"/>
      </font>
    </dxf>
    <dxf>
      <font>
        <name val="Aptos"/>
        <family val="2"/>
        <scheme val="none"/>
      </font>
    </dxf>
    <dxf>
      <numFmt numFmtId="3" formatCode="#,##0"/>
    </dxf>
    <dxf>
      <font>
        <name val="Aptos"/>
        <family val="2"/>
        <scheme val="none"/>
      </font>
    </dxf>
    <dxf>
      <numFmt numFmtId="165" formatCode="&quot;₹&quot;\ #,##0"/>
    </dxf>
    <dxf>
      <alignment wrapText="1"/>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65" formatCode="&quot;₹&quot;\ #,##0"/>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3" formatCode="#,##0"/>
    </dxf>
    <dxf>
      <font>
        <name val="Aptos"/>
        <family val="2"/>
        <scheme val="none"/>
      </font>
    </dxf>
    <dxf>
      <numFmt numFmtId="165" formatCode="&quot;₹&quot;\ #,##0"/>
    </dxf>
    <dxf>
      <numFmt numFmtId="167" formatCode="0.0000000000_ "/>
    </dxf>
    <dxf>
      <numFmt numFmtId="168" formatCode="0.000000000_ "/>
    </dxf>
    <dxf>
      <numFmt numFmtId="169" formatCode="0.00000000_ "/>
    </dxf>
    <dxf>
      <numFmt numFmtId="170" formatCode="0.0000000_ "/>
    </dxf>
    <dxf>
      <numFmt numFmtId="171" formatCode="0.000000_ "/>
    </dxf>
    <dxf>
      <numFmt numFmtId="172" formatCode="0.00000_ "/>
    </dxf>
    <dxf>
      <numFmt numFmtId="173" formatCode="0.0000_ "/>
    </dxf>
    <dxf>
      <numFmt numFmtId="174" formatCode="0.000_ "/>
    </dxf>
    <dxf>
      <numFmt numFmtId="2" formatCode="0.00"/>
    </dxf>
    <dxf>
      <font>
        <name val="Aptos"/>
        <family val="2"/>
        <scheme val="none"/>
      </font>
    </dxf>
    <dxf>
      <numFmt numFmtId="166" formatCode="&quot;₹&quot;\ #,##0.00"/>
    </dxf>
    <dxf>
      <font>
        <name val="Aptos"/>
        <family val="2"/>
        <scheme val="none"/>
      </font>
    </dxf>
    <dxf>
      <numFmt numFmtId="166" formatCode="&quot;₹&quot;\ #,##0.00"/>
    </dxf>
    <dxf>
      <font>
        <b val="0"/>
        <i val="0"/>
        <strike val="0"/>
        <condense val="0"/>
        <extend val="0"/>
        <outline val="0"/>
        <shadow val="0"/>
        <u val="none"/>
        <vertAlign val="baseline"/>
        <sz val="11"/>
        <color theme="1"/>
        <name val="Aptos"/>
        <family val="2"/>
        <scheme val="none"/>
      </font>
      <numFmt numFmtId="13" formatCode="0%"/>
      <border diagonalUp="0" diagonalDown="0">
        <left/>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165" formatCode="&quot;₹&quot;\ #,##0"/>
      <border diagonalUp="0" diagonalDown="0">
        <left/>
        <right style="thin">
          <color theme="4" tint="0.39997558519241921"/>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165" formatCode="&quot;₹&quot;\ #,##0"/>
      <border diagonalUp="0" diagonalDown="0">
        <left/>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165" formatCode="&quot;₹&quot;\ #,##0"/>
      <border diagonalUp="0" diagonalDown="0">
        <left/>
        <right/>
        <top style="thin">
          <color theme="4" tint="0.39997558519241921"/>
        </top>
        <bottom/>
      </border>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165" formatCode="&quot;₹&quot;\ #,##0"/>
      <border diagonalUp="0" diagonalDown="0">
        <left/>
        <right/>
        <top style="thin">
          <color theme="4" tint="0.39997558519241921"/>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numFmt numFmtId="20" formatCode="dd/mmm/yy"/>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4" tint="0.39997558519241921"/>
        </top>
        <bottom/>
      </border>
    </dxf>
    <dxf>
      <border outline="0">
        <left style="thin">
          <color theme="4" tint="0.39997558519241921"/>
        </left>
      </border>
    </dxf>
    <dxf>
      <font>
        <strike val="0"/>
        <outline val="0"/>
        <shadow val="0"/>
        <u val="none"/>
        <vertAlign val="baseline"/>
        <name val="Aptos"/>
        <family val="2"/>
        <scheme val="none"/>
      </font>
    </dxf>
    <dxf>
      <font>
        <b/>
        <i val="0"/>
        <strike val="0"/>
        <condense val="0"/>
        <extend val="0"/>
        <outline val="0"/>
        <shadow val="0"/>
        <u val="none"/>
        <vertAlign val="baseline"/>
        <sz val="11"/>
        <color theme="0"/>
        <name val="Aptos"/>
        <family val="2"/>
        <scheme val="none"/>
      </font>
      <fill>
        <patternFill patternType="solid">
          <fgColor theme="4"/>
          <bgColor theme="4"/>
        </patternFill>
      </fill>
    </dxf>
    <dxf>
      <numFmt numFmtId="20" formatCode="dd/mmm/yy"/>
      <alignment horizontal="center"/>
    </dxf>
    <dxf>
      <numFmt numFmtId="19" formatCode="dd/mm/yyyy"/>
    </dxf>
    <dxf>
      <numFmt numFmtId="19" formatCode="dd/mm/yyyy"/>
    </dxf>
    <dxf>
      <numFmt numFmtId="175" formatCode="m/d/yyyy"/>
    </dxf>
  </dxfs>
  <tableStyles count="1" defaultTableStyle="TableStyleMedium2" defaultPivotStyle="PivotStyleLight16">
    <tableStyle name="Invisible" pivot="0" table="0" count="0" xr9:uid="{179849C4-90BD-49E3-9FFD-630C987C1A65}"/>
  </tableStyles>
  <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microsoft.com/office/2007/relationships/slicerCache" Target="slicerCaches/slicerCach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Orders Analysis Dashboard in Excel.xlsx]Orders Pivot Sheet!PivotTable6</c:name>
    <c:fmtId val="0"/>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IN" sz="1700" b="1" i="0" u="none" strike="noStrike" kern="1200" baseline="0">
                <a:solidFill>
                  <a:sysClr val="windowText" lastClr="000000">
                    <a:lumMod val="75000"/>
                    <a:lumOff val="25000"/>
                  </a:sysClr>
                </a:solidFill>
                <a:latin typeface="Arial Nova Cond" panose="020B0506020202020204" pitchFamily="34" charset="0"/>
              </a:rPr>
              <a:t>Trend of no. of sales for each day</a:t>
            </a:r>
            <a:endParaRPr lang="en-IN" altLang="en-US" sz="1700" b="1" i="0" u="none" strike="noStrike" kern="1200" baseline="0">
              <a:solidFill>
                <a:sysClr val="windowText" lastClr="000000">
                  <a:lumMod val="75000"/>
                  <a:lumOff val="25000"/>
                </a:sysClr>
              </a:solidFill>
              <a:latin typeface="Arial Nova Cond" panose="020B0506020202020204" pitchFamily="34" charset="0"/>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'Orders Pivot Sheet'!$B$19</c:f>
              <c:strCache>
                <c:ptCount val="1"/>
                <c:pt idx="0">
                  <c:v>Total</c:v>
                </c:pt>
              </c:strCache>
            </c:strRef>
          </c:tx>
          <c:cat>
            <c:strRef>
              <c:f>'Orders Pivot Sheet'!$A$20:$A$100</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10-Jul</c:v>
                </c:pt>
                <c:pt idx="17">
                  <c:v>11-Jul</c:v>
                </c:pt>
                <c:pt idx="18">
                  <c:v>12-Jul</c:v>
                </c:pt>
                <c:pt idx="19">
                  <c:v>13-Jul</c:v>
                </c:pt>
                <c:pt idx="20">
                  <c:v>14-Jul</c:v>
                </c:pt>
                <c:pt idx="21">
                  <c:v>15-Jul</c:v>
                </c:pt>
                <c:pt idx="22">
                  <c:v>16-Jul</c:v>
                </c:pt>
                <c:pt idx="23">
                  <c:v>17-Jul</c:v>
                </c:pt>
                <c:pt idx="24">
                  <c:v>18-Jul</c:v>
                </c:pt>
                <c:pt idx="25">
                  <c:v>19-Jul</c:v>
                </c:pt>
                <c:pt idx="26">
                  <c:v>20-Jul</c:v>
                </c:pt>
                <c:pt idx="27">
                  <c:v>21-Jul</c:v>
                </c:pt>
                <c:pt idx="28">
                  <c:v>22-Jul</c:v>
                </c:pt>
                <c:pt idx="29">
                  <c:v>23-Jul</c:v>
                </c:pt>
                <c:pt idx="30">
                  <c:v>24-Jul</c:v>
                </c:pt>
                <c:pt idx="31">
                  <c:v>26-Jul</c:v>
                </c:pt>
                <c:pt idx="32">
                  <c:v>27-Jul</c:v>
                </c:pt>
                <c:pt idx="33">
                  <c:v>28-Jul</c:v>
                </c:pt>
                <c:pt idx="34">
                  <c:v>29-Jul</c:v>
                </c:pt>
                <c:pt idx="35">
                  <c:v>30-Jul</c:v>
                </c:pt>
                <c:pt idx="36">
                  <c:v>31-Jul</c:v>
                </c:pt>
                <c:pt idx="37">
                  <c:v>10-Aug</c:v>
                </c:pt>
                <c:pt idx="38">
                  <c:v>11-Aug</c:v>
                </c:pt>
                <c:pt idx="39">
                  <c:v>12-Aug</c:v>
                </c:pt>
                <c:pt idx="40">
                  <c:v>13-Aug</c:v>
                </c:pt>
                <c:pt idx="41">
                  <c:v>14-Aug</c:v>
                </c:pt>
                <c:pt idx="42">
                  <c:v>15-Aug</c:v>
                </c:pt>
                <c:pt idx="43">
                  <c:v>16-Aug</c:v>
                </c:pt>
                <c:pt idx="44">
                  <c:v>17-Aug</c:v>
                </c:pt>
                <c:pt idx="45">
                  <c:v>18-Aug</c:v>
                </c:pt>
                <c:pt idx="46">
                  <c:v>19-Aug</c:v>
                </c:pt>
                <c:pt idx="47">
                  <c:v>20-Aug</c:v>
                </c:pt>
                <c:pt idx="48">
                  <c:v>21-Aug</c:v>
                </c:pt>
                <c:pt idx="49">
                  <c:v>22-Aug</c:v>
                </c:pt>
                <c:pt idx="50">
                  <c:v>23-Aug</c:v>
                </c:pt>
                <c:pt idx="51">
                  <c:v>24-Aug</c:v>
                </c:pt>
                <c:pt idx="52">
                  <c:v>25-Aug</c:v>
                </c:pt>
                <c:pt idx="53">
                  <c:v>26-Aug</c:v>
                </c:pt>
                <c:pt idx="54">
                  <c:v>27-Aug</c:v>
                </c:pt>
                <c:pt idx="55">
                  <c:v>28-Aug</c:v>
                </c:pt>
                <c:pt idx="56">
                  <c:v>29-Aug</c:v>
                </c:pt>
                <c:pt idx="57">
                  <c:v>30-Aug</c:v>
                </c:pt>
                <c:pt idx="58">
                  <c:v>01-Jul</c:v>
                </c:pt>
                <c:pt idx="59">
                  <c:v>02-Jul</c:v>
                </c:pt>
                <c:pt idx="60">
                  <c:v>03-Jul</c:v>
                </c:pt>
                <c:pt idx="61">
                  <c:v>04-Jul</c:v>
                </c:pt>
                <c:pt idx="62">
                  <c:v>05-Jul</c:v>
                </c:pt>
                <c:pt idx="63">
                  <c:v>06-Jul</c:v>
                </c:pt>
                <c:pt idx="64">
                  <c:v>07-Jul</c:v>
                </c:pt>
                <c:pt idx="65">
                  <c:v>08-Jul</c:v>
                </c:pt>
                <c:pt idx="66">
                  <c:v>09-Jul</c:v>
                </c:pt>
                <c:pt idx="67">
                  <c:v>01-Aug</c:v>
                </c:pt>
                <c:pt idx="68">
                  <c:v>02-Aug</c:v>
                </c:pt>
                <c:pt idx="69">
                  <c:v>03-Aug</c:v>
                </c:pt>
                <c:pt idx="70">
                  <c:v>04-Aug</c:v>
                </c:pt>
                <c:pt idx="71">
                  <c:v>05-Aug</c:v>
                </c:pt>
                <c:pt idx="72">
                  <c:v>06-Aug</c:v>
                </c:pt>
                <c:pt idx="73">
                  <c:v>07-Aug</c:v>
                </c:pt>
                <c:pt idx="74">
                  <c:v>08-Aug</c:v>
                </c:pt>
                <c:pt idx="75">
                  <c:v>09-Aug</c:v>
                </c:pt>
                <c:pt idx="76">
                  <c:v>01-Sep</c:v>
                </c:pt>
                <c:pt idx="77">
                  <c:v>02-Sep</c:v>
                </c:pt>
                <c:pt idx="78">
                  <c:v>03-Sep</c:v>
                </c:pt>
                <c:pt idx="79">
                  <c:v>04-Sep</c:v>
                </c:pt>
                <c:pt idx="80">
                  <c:v>05-Sep</c:v>
                </c:pt>
              </c:strCache>
            </c:strRef>
          </c:cat>
          <c:val>
            <c:numRef>
              <c:f>'Orders Pivot Sheet'!$B$20:$B$100</c:f>
              <c:numCache>
                <c:formatCode>General</c:formatCode>
                <c:ptCount val="81"/>
                <c:pt idx="0">
                  <c:v>6</c:v>
                </c:pt>
                <c:pt idx="1">
                  <c:v>4</c:v>
                </c:pt>
                <c:pt idx="2">
                  <c:v>9</c:v>
                </c:pt>
                <c:pt idx="3">
                  <c:v>4</c:v>
                </c:pt>
                <c:pt idx="4">
                  <c:v>7</c:v>
                </c:pt>
                <c:pt idx="5">
                  <c:v>4</c:v>
                </c:pt>
                <c:pt idx="6">
                  <c:v>8</c:v>
                </c:pt>
                <c:pt idx="7">
                  <c:v>4</c:v>
                </c:pt>
                <c:pt idx="8">
                  <c:v>5</c:v>
                </c:pt>
                <c:pt idx="9">
                  <c:v>23</c:v>
                </c:pt>
                <c:pt idx="10">
                  <c:v>19</c:v>
                </c:pt>
                <c:pt idx="11">
                  <c:v>6</c:v>
                </c:pt>
                <c:pt idx="12">
                  <c:v>13</c:v>
                </c:pt>
                <c:pt idx="13">
                  <c:v>10</c:v>
                </c:pt>
                <c:pt idx="14">
                  <c:v>6</c:v>
                </c:pt>
                <c:pt idx="15">
                  <c:v>14</c:v>
                </c:pt>
                <c:pt idx="16">
                  <c:v>8</c:v>
                </c:pt>
                <c:pt idx="17">
                  <c:v>11</c:v>
                </c:pt>
                <c:pt idx="18">
                  <c:v>6</c:v>
                </c:pt>
                <c:pt idx="19">
                  <c:v>8</c:v>
                </c:pt>
                <c:pt idx="20">
                  <c:v>6</c:v>
                </c:pt>
                <c:pt idx="21">
                  <c:v>5</c:v>
                </c:pt>
                <c:pt idx="22">
                  <c:v>5</c:v>
                </c:pt>
                <c:pt idx="23">
                  <c:v>8</c:v>
                </c:pt>
                <c:pt idx="24">
                  <c:v>6</c:v>
                </c:pt>
                <c:pt idx="25">
                  <c:v>4</c:v>
                </c:pt>
                <c:pt idx="26">
                  <c:v>5</c:v>
                </c:pt>
                <c:pt idx="27">
                  <c:v>7</c:v>
                </c:pt>
                <c:pt idx="28">
                  <c:v>7</c:v>
                </c:pt>
                <c:pt idx="29">
                  <c:v>2</c:v>
                </c:pt>
                <c:pt idx="30">
                  <c:v>3</c:v>
                </c:pt>
                <c:pt idx="31">
                  <c:v>2</c:v>
                </c:pt>
                <c:pt idx="32">
                  <c:v>8</c:v>
                </c:pt>
                <c:pt idx="33">
                  <c:v>4</c:v>
                </c:pt>
                <c:pt idx="34">
                  <c:v>3</c:v>
                </c:pt>
                <c:pt idx="35">
                  <c:v>4</c:v>
                </c:pt>
                <c:pt idx="36">
                  <c:v>2</c:v>
                </c:pt>
                <c:pt idx="37">
                  <c:v>1</c:v>
                </c:pt>
                <c:pt idx="38">
                  <c:v>1</c:v>
                </c:pt>
                <c:pt idx="39">
                  <c:v>2</c:v>
                </c:pt>
                <c:pt idx="40">
                  <c:v>2</c:v>
                </c:pt>
                <c:pt idx="41">
                  <c:v>3</c:v>
                </c:pt>
                <c:pt idx="42">
                  <c:v>2</c:v>
                </c:pt>
                <c:pt idx="43">
                  <c:v>2</c:v>
                </c:pt>
                <c:pt idx="44">
                  <c:v>2</c:v>
                </c:pt>
                <c:pt idx="45">
                  <c:v>5</c:v>
                </c:pt>
                <c:pt idx="46">
                  <c:v>4</c:v>
                </c:pt>
                <c:pt idx="47">
                  <c:v>4</c:v>
                </c:pt>
                <c:pt idx="48">
                  <c:v>7</c:v>
                </c:pt>
                <c:pt idx="49">
                  <c:v>2</c:v>
                </c:pt>
                <c:pt idx="50">
                  <c:v>3</c:v>
                </c:pt>
                <c:pt idx="51">
                  <c:v>1</c:v>
                </c:pt>
                <c:pt idx="52">
                  <c:v>3</c:v>
                </c:pt>
                <c:pt idx="53">
                  <c:v>3</c:v>
                </c:pt>
                <c:pt idx="54">
                  <c:v>7</c:v>
                </c:pt>
                <c:pt idx="55">
                  <c:v>4</c:v>
                </c:pt>
                <c:pt idx="56">
                  <c:v>4</c:v>
                </c:pt>
                <c:pt idx="57">
                  <c:v>4</c:v>
                </c:pt>
                <c:pt idx="58">
                  <c:v>6</c:v>
                </c:pt>
                <c:pt idx="59">
                  <c:v>4</c:v>
                </c:pt>
                <c:pt idx="60">
                  <c:v>4</c:v>
                </c:pt>
                <c:pt idx="61">
                  <c:v>2</c:v>
                </c:pt>
                <c:pt idx="62">
                  <c:v>9</c:v>
                </c:pt>
                <c:pt idx="63">
                  <c:v>3</c:v>
                </c:pt>
                <c:pt idx="64">
                  <c:v>5</c:v>
                </c:pt>
                <c:pt idx="65">
                  <c:v>4</c:v>
                </c:pt>
                <c:pt idx="66">
                  <c:v>4</c:v>
                </c:pt>
                <c:pt idx="67">
                  <c:v>3</c:v>
                </c:pt>
                <c:pt idx="68">
                  <c:v>2</c:v>
                </c:pt>
                <c:pt idx="69">
                  <c:v>2</c:v>
                </c:pt>
                <c:pt idx="70">
                  <c:v>3</c:v>
                </c:pt>
                <c:pt idx="71">
                  <c:v>2</c:v>
                </c:pt>
                <c:pt idx="72">
                  <c:v>2</c:v>
                </c:pt>
                <c:pt idx="73">
                  <c:v>2</c:v>
                </c:pt>
                <c:pt idx="74">
                  <c:v>1</c:v>
                </c:pt>
                <c:pt idx="75">
                  <c:v>4</c:v>
                </c:pt>
                <c:pt idx="76">
                  <c:v>2</c:v>
                </c:pt>
                <c:pt idx="77">
                  <c:v>4</c:v>
                </c:pt>
                <c:pt idx="78">
                  <c:v>3</c:v>
                </c:pt>
                <c:pt idx="79">
                  <c:v>5</c:v>
                </c:pt>
                <c:pt idx="80">
                  <c:v>5</c:v>
                </c:pt>
              </c:numCache>
            </c:numRef>
          </c:val>
          <c:smooth val="0"/>
          <c:extLst>
            <c:ext xmlns:c16="http://schemas.microsoft.com/office/drawing/2014/chart" uri="{C3380CC4-5D6E-409C-BE32-E72D297353CC}">
              <c16:uniqueId val="{00000000-5EBA-4C3E-BF94-17C1259AE216}"/>
            </c:ext>
          </c:extLst>
        </c:ser>
        <c:dLbls>
          <c:showLegendKey val="0"/>
          <c:showVal val="0"/>
          <c:showCatName val="0"/>
          <c:showSerName val="0"/>
          <c:showPercent val="0"/>
          <c:showBubbleSize val="0"/>
        </c:dLbls>
        <c:marker val="1"/>
        <c:smooth val="0"/>
        <c:axId val="1327098368"/>
        <c:axId val="1070855856"/>
      </c:lineChart>
      <c:catAx>
        <c:axId val="13270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0855856"/>
        <c:crosses val="autoZero"/>
        <c:auto val="1"/>
        <c:lblAlgn val="ctr"/>
        <c:lblOffset val="100"/>
        <c:noMultiLvlLbl val="0"/>
      </c:catAx>
      <c:valAx>
        <c:axId val="107085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2709836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Orders Analysis Dashboard in Excel.xlsx]Orders Pivot Sheet!PivotTable7</c:name>
    <c:fmtId val="0"/>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IN" sz="1700" b="1" i="0" u="none" strike="noStrike" kern="1200" baseline="0">
                <a:solidFill>
                  <a:sysClr val="windowText" lastClr="000000">
                    <a:lumMod val="75000"/>
                    <a:lumOff val="25000"/>
                  </a:sysClr>
                </a:solidFill>
                <a:latin typeface="Arial Nova Cond" panose="020B0506020202020204" pitchFamily="34" charset="0"/>
              </a:rPr>
              <a:t>Trend of revenue generated for each day</a:t>
            </a:r>
            <a:endParaRPr lang="en-IN" altLang="en-US" sz="1700" b="1" i="0" u="none" strike="noStrike" kern="1200" baseline="0">
              <a:solidFill>
                <a:sysClr val="windowText" lastClr="000000">
                  <a:lumMod val="75000"/>
                  <a:lumOff val="25000"/>
                </a:sysClr>
              </a:solidFill>
              <a:latin typeface="Arial Nova Cond" panose="020B0506020202020204" pitchFamily="34" charset="0"/>
            </a:endParaRPr>
          </a:p>
        </c:rich>
      </c:tx>
      <c:layout>
        <c:manualLayout>
          <c:xMode val="edge"/>
          <c:yMode val="edge"/>
          <c:x val="0.40149699735278738"/>
          <c:y val="3.450478538808374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'Orders Pivot Sheet'!$E$19</c:f>
              <c:strCache>
                <c:ptCount val="1"/>
                <c:pt idx="0">
                  <c:v>Total</c:v>
                </c:pt>
              </c:strCache>
            </c:strRef>
          </c:tx>
          <c:spPr>
            <a:solidFill>
              <a:schemeClr val="accent1"/>
            </a:solidFill>
            <a:ln>
              <a:noFill/>
            </a:ln>
            <a:effectLst/>
          </c:spPr>
          <c:cat>
            <c:strRef>
              <c:f>'Orders Pivot Sheet'!$D$20:$D$100</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10-Jul</c:v>
                </c:pt>
                <c:pt idx="17">
                  <c:v>11-Jul</c:v>
                </c:pt>
                <c:pt idx="18">
                  <c:v>12-Jul</c:v>
                </c:pt>
                <c:pt idx="19">
                  <c:v>13-Jul</c:v>
                </c:pt>
                <c:pt idx="20">
                  <c:v>14-Jul</c:v>
                </c:pt>
                <c:pt idx="21">
                  <c:v>15-Jul</c:v>
                </c:pt>
                <c:pt idx="22">
                  <c:v>16-Jul</c:v>
                </c:pt>
                <c:pt idx="23">
                  <c:v>17-Jul</c:v>
                </c:pt>
                <c:pt idx="24">
                  <c:v>18-Jul</c:v>
                </c:pt>
                <c:pt idx="25">
                  <c:v>19-Jul</c:v>
                </c:pt>
                <c:pt idx="26">
                  <c:v>20-Jul</c:v>
                </c:pt>
                <c:pt idx="27">
                  <c:v>21-Jul</c:v>
                </c:pt>
                <c:pt idx="28">
                  <c:v>22-Jul</c:v>
                </c:pt>
                <c:pt idx="29">
                  <c:v>23-Jul</c:v>
                </c:pt>
                <c:pt idx="30">
                  <c:v>24-Jul</c:v>
                </c:pt>
                <c:pt idx="31">
                  <c:v>26-Jul</c:v>
                </c:pt>
                <c:pt idx="32">
                  <c:v>27-Jul</c:v>
                </c:pt>
                <c:pt idx="33">
                  <c:v>28-Jul</c:v>
                </c:pt>
                <c:pt idx="34">
                  <c:v>29-Jul</c:v>
                </c:pt>
                <c:pt idx="35">
                  <c:v>30-Jul</c:v>
                </c:pt>
                <c:pt idx="36">
                  <c:v>31-Jul</c:v>
                </c:pt>
                <c:pt idx="37">
                  <c:v>10-Aug</c:v>
                </c:pt>
                <c:pt idx="38">
                  <c:v>11-Aug</c:v>
                </c:pt>
                <c:pt idx="39">
                  <c:v>12-Aug</c:v>
                </c:pt>
                <c:pt idx="40">
                  <c:v>13-Aug</c:v>
                </c:pt>
                <c:pt idx="41">
                  <c:v>14-Aug</c:v>
                </c:pt>
                <c:pt idx="42">
                  <c:v>15-Aug</c:v>
                </c:pt>
                <c:pt idx="43">
                  <c:v>16-Aug</c:v>
                </c:pt>
                <c:pt idx="44">
                  <c:v>17-Aug</c:v>
                </c:pt>
                <c:pt idx="45">
                  <c:v>18-Aug</c:v>
                </c:pt>
                <c:pt idx="46">
                  <c:v>19-Aug</c:v>
                </c:pt>
                <c:pt idx="47">
                  <c:v>20-Aug</c:v>
                </c:pt>
                <c:pt idx="48">
                  <c:v>21-Aug</c:v>
                </c:pt>
                <c:pt idx="49">
                  <c:v>22-Aug</c:v>
                </c:pt>
                <c:pt idx="50">
                  <c:v>23-Aug</c:v>
                </c:pt>
                <c:pt idx="51">
                  <c:v>24-Aug</c:v>
                </c:pt>
                <c:pt idx="52">
                  <c:v>25-Aug</c:v>
                </c:pt>
                <c:pt idx="53">
                  <c:v>26-Aug</c:v>
                </c:pt>
                <c:pt idx="54">
                  <c:v>27-Aug</c:v>
                </c:pt>
                <c:pt idx="55">
                  <c:v>28-Aug</c:v>
                </c:pt>
                <c:pt idx="56">
                  <c:v>29-Aug</c:v>
                </c:pt>
                <c:pt idx="57">
                  <c:v>30-Aug</c:v>
                </c:pt>
                <c:pt idx="58">
                  <c:v>01-Jul</c:v>
                </c:pt>
                <c:pt idx="59">
                  <c:v>02-Jul</c:v>
                </c:pt>
                <c:pt idx="60">
                  <c:v>03-Jul</c:v>
                </c:pt>
                <c:pt idx="61">
                  <c:v>04-Jul</c:v>
                </c:pt>
                <c:pt idx="62">
                  <c:v>05-Jul</c:v>
                </c:pt>
                <c:pt idx="63">
                  <c:v>06-Jul</c:v>
                </c:pt>
                <c:pt idx="64">
                  <c:v>07-Jul</c:v>
                </c:pt>
                <c:pt idx="65">
                  <c:v>08-Jul</c:v>
                </c:pt>
                <c:pt idx="66">
                  <c:v>09-Jul</c:v>
                </c:pt>
                <c:pt idx="67">
                  <c:v>01-Aug</c:v>
                </c:pt>
                <c:pt idx="68">
                  <c:v>02-Aug</c:v>
                </c:pt>
                <c:pt idx="69">
                  <c:v>03-Aug</c:v>
                </c:pt>
                <c:pt idx="70">
                  <c:v>04-Aug</c:v>
                </c:pt>
                <c:pt idx="71">
                  <c:v>05-Aug</c:v>
                </c:pt>
                <c:pt idx="72">
                  <c:v>06-Aug</c:v>
                </c:pt>
                <c:pt idx="73">
                  <c:v>07-Aug</c:v>
                </c:pt>
                <c:pt idx="74">
                  <c:v>08-Aug</c:v>
                </c:pt>
                <c:pt idx="75">
                  <c:v>09-Aug</c:v>
                </c:pt>
                <c:pt idx="76">
                  <c:v>01-Sep</c:v>
                </c:pt>
                <c:pt idx="77">
                  <c:v>02-Sep</c:v>
                </c:pt>
                <c:pt idx="78">
                  <c:v>03-Sep</c:v>
                </c:pt>
                <c:pt idx="79">
                  <c:v>04-Sep</c:v>
                </c:pt>
                <c:pt idx="80">
                  <c:v>05-Sep</c:v>
                </c:pt>
              </c:strCache>
            </c:strRef>
          </c:cat>
          <c:val>
            <c:numRef>
              <c:f>'Orders Pivot Sheet'!$E$20:$E$100</c:f>
              <c:numCache>
                <c:formatCode>"₹"\ #,##0</c:formatCode>
                <c:ptCount val="81"/>
                <c:pt idx="0">
                  <c:v>2784</c:v>
                </c:pt>
                <c:pt idx="1">
                  <c:v>1223</c:v>
                </c:pt>
                <c:pt idx="2">
                  <c:v>2227</c:v>
                </c:pt>
                <c:pt idx="3">
                  <c:v>1501</c:v>
                </c:pt>
                <c:pt idx="4">
                  <c:v>2523</c:v>
                </c:pt>
                <c:pt idx="5">
                  <c:v>2242</c:v>
                </c:pt>
                <c:pt idx="6">
                  <c:v>2137</c:v>
                </c:pt>
                <c:pt idx="7">
                  <c:v>1802</c:v>
                </c:pt>
                <c:pt idx="8">
                  <c:v>1846</c:v>
                </c:pt>
                <c:pt idx="9">
                  <c:v>7987</c:v>
                </c:pt>
                <c:pt idx="10">
                  <c:v>4467</c:v>
                </c:pt>
                <c:pt idx="11">
                  <c:v>1506</c:v>
                </c:pt>
                <c:pt idx="12">
                  <c:v>4677</c:v>
                </c:pt>
                <c:pt idx="13">
                  <c:v>4684</c:v>
                </c:pt>
                <c:pt idx="14">
                  <c:v>1621</c:v>
                </c:pt>
                <c:pt idx="15">
                  <c:v>3719</c:v>
                </c:pt>
                <c:pt idx="16">
                  <c:v>1957</c:v>
                </c:pt>
                <c:pt idx="17">
                  <c:v>4277</c:v>
                </c:pt>
                <c:pt idx="18">
                  <c:v>1727</c:v>
                </c:pt>
                <c:pt idx="19">
                  <c:v>1511</c:v>
                </c:pt>
                <c:pt idx="20">
                  <c:v>2025</c:v>
                </c:pt>
                <c:pt idx="21">
                  <c:v>858</c:v>
                </c:pt>
                <c:pt idx="22">
                  <c:v>757</c:v>
                </c:pt>
                <c:pt idx="23">
                  <c:v>2559</c:v>
                </c:pt>
                <c:pt idx="24">
                  <c:v>1621</c:v>
                </c:pt>
                <c:pt idx="25">
                  <c:v>1035</c:v>
                </c:pt>
                <c:pt idx="26">
                  <c:v>2154</c:v>
                </c:pt>
                <c:pt idx="27">
                  <c:v>1050</c:v>
                </c:pt>
                <c:pt idx="28">
                  <c:v>2122</c:v>
                </c:pt>
                <c:pt idx="29">
                  <c:v>995</c:v>
                </c:pt>
                <c:pt idx="30">
                  <c:v>1220</c:v>
                </c:pt>
                <c:pt idx="31">
                  <c:v>284</c:v>
                </c:pt>
                <c:pt idx="32">
                  <c:v>2983</c:v>
                </c:pt>
                <c:pt idx="33">
                  <c:v>1222</c:v>
                </c:pt>
                <c:pt idx="34">
                  <c:v>696</c:v>
                </c:pt>
                <c:pt idx="35">
                  <c:v>899</c:v>
                </c:pt>
                <c:pt idx="36">
                  <c:v>566</c:v>
                </c:pt>
                <c:pt idx="37">
                  <c:v>777</c:v>
                </c:pt>
                <c:pt idx="38">
                  <c:v>135</c:v>
                </c:pt>
                <c:pt idx="39">
                  <c:v>388</c:v>
                </c:pt>
                <c:pt idx="40">
                  <c:v>550</c:v>
                </c:pt>
                <c:pt idx="41">
                  <c:v>421</c:v>
                </c:pt>
                <c:pt idx="42">
                  <c:v>141</c:v>
                </c:pt>
                <c:pt idx="43">
                  <c:v>965</c:v>
                </c:pt>
                <c:pt idx="44">
                  <c:v>613</c:v>
                </c:pt>
                <c:pt idx="45">
                  <c:v>1766</c:v>
                </c:pt>
                <c:pt idx="46">
                  <c:v>853</c:v>
                </c:pt>
                <c:pt idx="47">
                  <c:v>1299</c:v>
                </c:pt>
                <c:pt idx="48">
                  <c:v>916</c:v>
                </c:pt>
                <c:pt idx="49">
                  <c:v>148</c:v>
                </c:pt>
                <c:pt idx="50">
                  <c:v>279</c:v>
                </c:pt>
                <c:pt idx="51">
                  <c:v>563</c:v>
                </c:pt>
                <c:pt idx="52">
                  <c:v>901</c:v>
                </c:pt>
                <c:pt idx="53">
                  <c:v>1187</c:v>
                </c:pt>
                <c:pt idx="54">
                  <c:v>2473</c:v>
                </c:pt>
                <c:pt idx="55">
                  <c:v>542</c:v>
                </c:pt>
                <c:pt idx="56">
                  <c:v>1906</c:v>
                </c:pt>
                <c:pt idx="57">
                  <c:v>796</c:v>
                </c:pt>
                <c:pt idx="58">
                  <c:v>1651</c:v>
                </c:pt>
                <c:pt idx="59">
                  <c:v>1205</c:v>
                </c:pt>
                <c:pt idx="60">
                  <c:v>1735</c:v>
                </c:pt>
                <c:pt idx="61">
                  <c:v>499</c:v>
                </c:pt>
                <c:pt idx="62">
                  <c:v>3166</c:v>
                </c:pt>
                <c:pt idx="63">
                  <c:v>1224</c:v>
                </c:pt>
                <c:pt idx="64">
                  <c:v>1562</c:v>
                </c:pt>
                <c:pt idx="65">
                  <c:v>1813</c:v>
                </c:pt>
                <c:pt idx="66">
                  <c:v>1569</c:v>
                </c:pt>
                <c:pt idx="67">
                  <c:v>1461</c:v>
                </c:pt>
                <c:pt idx="68">
                  <c:v>671</c:v>
                </c:pt>
                <c:pt idx="69">
                  <c:v>295</c:v>
                </c:pt>
                <c:pt idx="70">
                  <c:v>682</c:v>
                </c:pt>
                <c:pt idx="71">
                  <c:v>412</c:v>
                </c:pt>
                <c:pt idx="72">
                  <c:v>408</c:v>
                </c:pt>
                <c:pt idx="73">
                  <c:v>1100</c:v>
                </c:pt>
                <c:pt idx="74">
                  <c:v>105</c:v>
                </c:pt>
                <c:pt idx="75">
                  <c:v>1902</c:v>
                </c:pt>
                <c:pt idx="76">
                  <c:v>515</c:v>
                </c:pt>
                <c:pt idx="77">
                  <c:v>537</c:v>
                </c:pt>
                <c:pt idx="78">
                  <c:v>521</c:v>
                </c:pt>
                <c:pt idx="79">
                  <c:v>1472</c:v>
                </c:pt>
                <c:pt idx="80">
                  <c:v>793</c:v>
                </c:pt>
              </c:numCache>
            </c:numRef>
          </c:val>
          <c:extLst>
            <c:ext xmlns:c16="http://schemas.microsoft.com/office/drawing/2014/chart" uri="{C3380CC4-5D6E-409C-BE32-E72D297353CC}">
              <c16:uniqueId val="{00000001-C15F-4475-8A65-6378AFAD27E3}"/>
            </c:ext>
          </c:extLst>
        </c:ser>
        <c:dLbls>
          <c:showLegendKey val="0"/>
          <c:showVal val="0"/>
          <c:showCatName val="0"/>
          <c:showSerName val="0"/>
          <c:showPercent val="0"/>
          <c:showBubbleSize val="0"/>
        </c:dLbls>
        <c:axId val="1462260384"/>
        <c:axId val="1070855376"/>
      </c:areaChart>
      <c:catAx>
        <c:axId val="146226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0855376"/>
        <c:crosses val="autoZero"/>
        <c:auto val="1"/>
        <c:lblAlgn val="ctr"/>
        <c:lblOffset val="100"/>
        <c:noMultiLvlLbl val="0"/>
      </c:catAx>
      <c:valAx>
        <c:axId val="107085537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462260384"/>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Orders Analysis Dashboard in Excel.xlsx]Orders Pivot Sheet!PivotTable5</c:name>
    <c:fmtId val="0"/>
  </c:pivotSource>
  <c:chart>
    <c:title>
      <c:tx>
        <c:rich>
          <a:bodyPr rot="0" spcFirstLastPara="0" vertOverflow="ellipsis" vert="horz" wrap="square" anchor="ctr" anchorCtr="1"/>
          <a:lstStyle/>
          <a:p>
            <a:pPr defTabSz="914400">
              <a:defRPr lang="en-US" sz="1700" b="1" i="0" u="none" strike="noStrike" kern="1200" baseline="0">
                <a:solidFill>
                  <a:schemeClr val="tx1">
                    <a:lumMod val="75000"/>
                    <a:lumOff val="25000"/>
                  </a:schemeClr>
                </a:solidFill>
                <a:latin typeface="Arial Nova Cond" panose="020B0506020202020204" pitchFamily="34" charset="0"/>
                <a:ea typeface="+mn-ea"/>
                <a:cs typeface="+mn-cs"/>
              </a:defRPr>
            </a:pPr>
            <a:r>
              <a:rPr lang="en-IN" altLang="en-US" sz="1700">
                <a:latin typeface="Arial Nova Cond" panose="020B0506020202020204" pitchFamily="34" charset="0"/>
              </a:rPr>
              <a:t>Most ordered products</a:t>
            </a:r>
          </a:p>
        </c:rich>
      </c:tx>
      <c:layout>
        <c:manualLayout>
          <c:xMode val="edge"/>
          <c:yMode val="edge"/>
          <c:x val="1.1477066700987399E-2"/>
          <c:y val="3.92166769231998E-2"/>
        </c:manualLayout>
      </c:layout>
      <c:overlay val="0"/>
      <c:spPr>
        <a:noFill/>
        <a:ln>
          <a:noFill/>
        </a:ln>
        <a:effectLst/>
      </c:spPr>
      <c:txPr>
        <a:bodyPr rot="0" spcFirstLastPara="0" vertOverflow="ellipsis" vert="horz" wrap="square" anchor="ctr" anchorCtr="1"/>
        <a:lstStyle/>
        <a:p>
          <a:pPr defTabSz="914400">
            <a:defRPr lang="en-US" sz="1700" b="1" i="0" u="none" strike="noStrike" kern="1200" baseline="0">
              <a:solidFill>
                <a:schemeClr val="tx1">
                  <a:lumMod val="75000"/>
                  <a:lumOff val="25000"/>
                </a:schemeClr>
              </a:solidFill>
              <a:latin typeface="Arial Nova Cond" panose="020B0506020202020204" pitchFamily="34" charset="0"/>
              <a:ea typeface="+mn-ea"/>
              <a:cs typeface="+mn-cs"/>
            </a:defRPr>
          </a:pPr>
          <a:endParaRPr lang="en-IN"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10</a:t>
                </a:r>
                <a:r>
                  <a:rPr lang="en-US" altLang="en-US">
                    <a:latin typeface="Aptos" panose="020B0004020202020204" pitchFamily="34" charset="0"/>
                  </a:rPr>
                  <a:t>,</a:t>
                </a:r>
                <a:r>
                  <a:rPr lang="en-US">
                    <a:latin typeface="Aptos" panose="020B0004020202020204" pitchFamily="34" charset="0"/>
                  </a:rPr>
                  <a:t>046</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46</a:t>
                </a:r>
                <a:r>
                  <a:rPr lang="en-US" altLang="en-US">
                    <a:latin typeface="Aptos" panose="020B0004020202020204" pitchFamily="34" charset="0"/>
                  </a:rPr>
                  <a:t>,</a:t>
                </a:r>
                <a:r>
                  <a:rPr lang="en-US">
                    <a:latin typeface="Aptos" panose="020B0004020202020204" pitchFamily="34" charset="0"/>
                  </a:rPr>
                  <a:t>569</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54</a:t>
                </a:r>
                <a:r>
                  <a:rPr lang="en-US" altLang="en-US">
                    <a:latin typeface="Aptos" panose="020B0004020202020204" pitchFamily="34" charset="0"/>
                  </a:rPr>
                  <a:t>,</a:t>
                </a:r>
                <a:r>
                  <a:rPr lang="en-US">
                    <a:latin typeface="Aptos" panose="020B0004020202020204" pitchFamily="34" charset="0"/>
                  </a:rPr>
                  <a:t>201</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52</a:t>
                </a:r>
                <a:r>
                  <a:rPr lang="en-US" altLang="en-US">
                    <a:latin typeface="Aptos" panose="020B0004020202020204" pitchFamily="34" charset="0"/>
                  </a:rPr>
                  <a:t>,</a:t>
                </a:r>
                <a:r>
                  <a:rPr lang="en-US">
                    <a:latin typeface="Aptos" panose="020B0004020202020204" pitchFamily="34" charset="0"/>
                  </a:rPr>
                  <a:t>011</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21</a:t>
                </a:r>
                <a:r>
                  <a:rPr lang="en-US" altLang="en-US">
                    <a:latin typeface="Aptos" panose="020B0004020202020204" pitchFamily="34" charset="0"/>
                  </a:rPr>
                  <a:t>,</a:t>
                </a:r>
                <a:r>
                  <a:rPr lang="en-US">
                    <a:latin typeface="Aptos" panose="020B0004020202020204" pitchFamily="34" charset="0"/>
                  </a:rPr>
                  <a:t>382</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2"/>
          </a:solidFill>
          <a:ln>
            <a:noFill/>
          </a:ln>
          <a:effectLst/>
        </c:spPr>
        <c:dLbl>
          <c:idx val="0"/>
          <c:tx>
            <c:rich>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r>
                  <a:rPr lang="en-US">
                    <a:latin typeface="Aptos" panose="020B0004020202020204" pitchFamily="34" charset="0"/>
                  </a:rPr>
                  <a:t>54</a:t>
                </a:r>
                <a:r>
                  <a:rPr lang="en-US" altLang="en-US">
                    <a:latin typeface="Aptos" panose="020B0004020202020204" pitchFamily="34" charset="0"/>
                  </a:rPr>
                  <a:t>,</a:t>
                </a:r>
                <a:r>
                  <a:rPr lang="en-US">
                    <a:latin typeface="Aptos" panose="020B0004020202020204" pitchFamily="34" charset="0"/>
                  </a:rPr>
                  <a:t>037</a:t>
                </a:r>
              </a:p>
            </c:rich>
          </c:tx>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20218818380744"/>
          <c:y val="0.18951998470070799"/>
          <c:w val="0.71457330415754905"/>
          <c:h val="0.72813157391470695"/>
        </c:manualLayout>
      </c:layout>
      <c:barChart>
        <c:barDir val="bar"/>
        <c:grouping val="clustered"/>
        <c:varyColors val="0"/>
        <c:ser>
          <c:idx val="0"/>
          <c:order val="0"/>
          <c:tx>
            <c:strRef>
              <c:f>'Orders Pivot Sheet'!$B$9</c:f>
              <c:strCache>
                <c:ptCount val="1"/>
                <c:pt idx="0">
                  <c:v>No. of orders</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Sheet'!$A$10:$A$15</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Sheet'!$B$10:$B$15</c:f>
              <c:numCache>
                <c:formatCode>General</c:formatCode>
                <c:ptCount val="6"/>
                <c:pt idx="0">
                  <c:v>14</c:v>
                </c:pt>
                <c:pt idx="1">
                  <c:v>83</c:v>
                </c:pt>
                <c:pt idx="2">
                  <c:v>84</c:v>
                </c:pt>
                <c:pt idx="3">
                  <c:v>88</c:v>
                </c:pt>
                <c:pt idx="4">
                  <c:v>42</c:v>
                </c:pt>
                <c:pt idx="5">
                  <c:v>92</c:v>
                </c:pt>
              </c:numCache>
            </c:numRef>
          </c:val>
          <c:extLst>
            <c:ext xmlns:c16="http://schemas.microsoft.com/office/drawing/2014/chart" uri="{C3380CC4-5D6E-409C-BE32-E72D297353CC}">
              <c16:uniqueId val="{00000000-4E6A-4B55-8D89-4DA45077833E}"/>
            </c:ext>
          </c:extLst>
        </c:ser>
        <c:ser>
          <c:idx val="1"/>
          <c:order val="1"/>
          <c:tx>
            <c:strRef>
              <c:f>'Orders Pivot Sheet'!$C$9</c:f>
              <c:strCache>
                <c:ptCount val="1"/>
                <c:pt idx="0">
                  <c:v>Revenue (₹)</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4E6A-4B55-8D89-4DA45077833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4E6A-4B55-8D89-4DA45077833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4E6A-4B55-8D89-4DA45077833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4E6A-4B55-8D89-4DA45077833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4E6A-4B55-8D89-4DA45077833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6-4E6A-4B55-8D89-4DA45077833E}"/>
              </c:ext>
            </c:extLst>
          </c:dPt>
          <c:dLbls>
            <c:dLbl>
              <c:idx val="0"/>
              <c:tx>
                <c:rich>
                  <a:bodyPr/>
                  <a:lstStyle/>
                  <a:p>
                    <a:r>
                      <a:rPr lang="en-US">
                        <a:latin typeface="Aptos" panose="020B0004020202020204" pitchFamily="34" charset="0"/>
                      </a:rPr>
                      <a:t>10</a:t>
                    </a:r>
                    <a:r>
                      <a:rPr lang="en-US" altLang="en-US">
                        <a:latin typeface="Aptos" panose="020B0004020202020204" pitchFamily="34" charset="0"/>
                      </a:rPr>
                      <a:t>,</a:t>
                    </a:r>
                    <a:r>
                      <a:rPr lang="en-US">
                        <a:latin typeface="Aptos" panose="020B0004020202020204" pitchFamily="34" charset="0"/>
                      </a:rPr>
                      <a:t>046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E6A-4B55-8D89-4DA45077833E}"/>
                </c:ext>
              </c:extLst>
            </c:dLbl>
            <c:dLbl>
              <c:idx val="1"/>
              <c:tx>
                <c:rich>
                  <a:bodyPr/>
                  <a:lstStyle/>
                  <a:p>
                    <a:r>
                      <a:rPr lang="en-US">
                        <a:latin typeface="Aptos" panose="020B0004020202020204" pitchFamily="34" charset="0"/>
                      </a:rPr>
                      <a:t>46</a:t>
                    </a:r>
                    <a:r>
                      <a:rPr lang="en-US" altLang="en-US">
                        <a:latin typeface="Aptos" panose="020B0004020202020204" pitchFamily="34" charset="0"/>
                      </a:rPr>
                      <a:t>,</a:t>
                    </a:r>
                    <a:r>
                      <a:rPr lang="en-US">
                        <a:latin typeface="Aptos" panose="020B0004020202020204" pitchFamily="34" charset="0"/>
                      </a:rPr>
                      <a:t>569</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E6A-4B55-8D89-4DA45077833E}"/>
                </c:ext>
              </c:extLst>
            </c:dLbl>
            <c:dLbl>
              <c:idx val="2"/>
              <c:tx>
                <c:rich>
                  <a:bodyPr/>
                  <a:lstStyle/>
                  <a:p>
                    <a:r>
                      <a:rPr lang="en-US">
                        <a:latin typeface="Aptos" panose="020B0004020202020204" pitchFamily="34" charset="0"/>
                      </a:rPr>
                      <a:t>54</a:t>
                    </a:r>
                    <a:r>
                      <a:rPr lang="en-US" altLang="en-US">
                        <a:latin typeface="Aptos" panose="020B0004020202020204" pitchFamily="34" charset="0"/>
                      </a:rPr>
                      <a:t>,</a:t>
                    </a:r>
                    <a:r>
                      <a:rPr lang="en-US">
                        <a:latin typeface="Aptos" panose="020B0004020202020204" pitchFamily="34" charset="0"/>
                      </a:rPr>
                      <a:t>201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E6A-4B55-8D89-4DA45077833E}"/>
                </c:ext>
              </c:extLst>
            </c:dLbl>
            <c:dLbl>
              <c:idx val="3"/>
              <c:tx>
                <c:rich>
                  <a:bodyPr/>
                  <a:lstStyle/>
                  <a:p>
                    <a:r>
                      <a:rPr lang="en-US">
                        <a:latin typeface="Aptos" panose="020B0004020202020204" pitchFamily="34" charset="0"/>
                      </a:rPr>
                      <a:t>52</a:t>
                    </a:r>
                    <a:r>
                      <a:rPr lang="en-US" altLang="en-US">
                        <a:latin typeface="Aptos" panose="020B0004020202020204" pitchFamily="34" charset="0"/>
                      </a:rPr>
                      <a:t>,</a:t>
                    </a:r>
                    <a:r>
                      <a:rPr lang="en-US">
                        <a:latin typeface="Aptos" panose="020B0004020202020204" pitchFamily="34" charset="0"/>
                      </a:rPr>
                      <a:t>011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E6A-4B55-8D89-4DA45077833E}"/>
                </c:ext>
              </c:extLst>
            </c:dLbl>
            <c:dLbl>
              <c:idx val="4"/>
              <c:tx>
                <c:rich>
                  <a:bodyPr/>
                  <a:lstStyle/>
                  <a:p>
                    <a:r>
                      <a:rPr lang="en-US">
                        <a:latin typeface="Aptos" panose="020B0004020202020204" pitchFamily="34" charset="0"/>
                      </a:rPr>
                      <a:t>21</a:t>
                    </a:r>
                    <a:r>
                      <a:rPr lang="en-US" altLang="en-US">
                        <a:latin typeface="Aptos" panose="020B0004020202020204" pitchFamily="34" charset="0"/>
                      </a:rPr>
                      <a:t>,</a:t>
                    </a:r>
                    <a:r>
                      <a:rPr lang="en-US">
                        <a:latin typeface="Aptos" panose="020B0004020202020204" pitchFamily="34" charset="0"/>
                      </a:rPr>
                      <a:t>382</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E6A-4B55-8D89-4DA45077833E}"/>
                </c:ext>
              </c:extLst>
            </c:dLbl>
            <c:dLbl>
              <c:idx val="5"/>
              <c:tx>
                <c:rich>
                  <a:bodyPr/>
                  <a:lstStyle/>
                  <a:p>
                    <a:r>
                      <a:rPr lang="en-US">
                        <a:latin typeface="Aptos" panose="020B0004020202020204" pitchFamily="34" charset="0"/>
                      </a:rPr>
                      <a:t>54</a:t>
                    </a:r>
                    <a:r>
                      <a:rPr lang="en-US" altLang="en-US">
                        <a:latin typeface="Aptos" panose="020B0004020202020204" pitchFamily="34" charset="0"/>
                      </a:rPr>
                      <a:t>,</a:t>
                    </a:r>
                    <a:r>
                      <a:rPr lang="en-US">
                        <a:latin typeface="Aptos" panose="020B0004020202020204" pitchFamily="34" charset="0"/>
                      </a:rPr>
                      <a:t>037</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E6A-4B55-8D89-4DA45077833E}"/>
                </c:ext>
              </c:extLst>
            </c:dLbl>
            <c:numFmt formatCode="&quot;₹&quot;\ #,##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Sheet'!$A$10:$A$15</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Sheet'!$C$10:$C$15</c:f>
              <c:numCache>
                <c:formatCode>"₹"\ #,##0</c:formatCode>
                <c:ptCount val="6"/>
                <c:pt idx="0">
                  <c:v>4654</c:v>
                </c:pt>
                <c:pt idx="1">
                  <c:v>22608</c:v>
                </c:pt>
                <c:pt idx="2">
                  <c:v>25263</c:v>
                </c:pt>
                <c:pt idx="3">
                  <c:v>28407</c:v>
                </c:pt>
                <c:pt idx="4">
                  <c:v>13672</c:v>
                </c:pt>
                <c:pt idx="5">
                  <c:v>27777</c:v>
                </c:pt>
              </c:numCache>
            </c:numRef>
          </c:val>
          <c:extLst>
            <c:ext xmlns:c16="http://schemas.microsoft.com/office/drawing/2014/chart" uri="{C3380CC4-5D6E-409C-BE32-E72D297353CC}">
              <c16:uniqueId val="{00000007-4E6A-4B55-8D89-4DA45077833E}"/>
            </c:ext>
          </c:extLst>
        </c:ser>
        <c:dLbls>
          <c:showLegendKey val="0"/>
          <c:showVal val="1"/>
          <c:showCatName val="0"/>
          <c:showSerName val="0"/>
          <c:showPercent val="0"/>
          <c:showBubbleSize val="0"/>
        </c:dLbls>
        <c:gapWidth val="55"/>
        <c:axId val="131731224"/>
        <c:axId val="866032792"/>
      </c:barChart>
      <c:catAx>
        <c:axId val="13173122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66032792"/>
        <c:crosses val="autoZero"/>
        <c:auto val="1"/>
        <c:lblAlgn val="ctr"/>
        <c:lblOffset val="100"/>
        <c:noMultiLvlLbl val="1"/>
      </c:catAx>
      <c:valAx>
        <c:axId val="866032792"/>
        <c:scaling>
          <c:logBase val="10"/>
          <c:orientation val="minMax"/>
        </c:scaling>
        <c:delete val="1"/>
        <c:axPos val="b"/>
        <c:numFmt formatCode="General" sourceLinked="1"/>
        <c:majorTickMark val="none"/>
        <c:minorTickMark val="none"/>
        <c:tickLblPos val="nextTo"/>
        <c:crossAx val="131731224"/>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Entry>
      <c:legendEntry>
        <c:idx val="1"/>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Entry>
      <c:layout>
        <c:manualLayout>
          <c:xMode val="edge"/>
          <c:yMode val="edge"/>
          <c:x val="0.57664076894956751"/>
          <c:y val="2.2558874797138907E-2"/>
          <c:w val="0.42123350688258487"/>
          <c:h val="0.11125802795617699"/>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uri="{0b15fc19-7d7d-44ad-8c2d-2c3a37ce22c3}">
        <chartProps xmlns="https://web.wps.cn/et/2018/main" chartId="{ae85a90e-faee-4606-b303-89ff1872c821}"/>
      </c:ext>
    </c:extLst>
  </c:chart>
  <c:spPr>
    <a:noFill/>
    <a:ln w="9525" cap="flat" cmpd="sng" algn="ctr">
      <a:noFill/>
      <a:round/>
    </a:ln>
    <a:effectLst/>
  </c:spPr>
  <c:txPr>
    <a:bodyPr/>
    <a:lstStyle/>
    <a:p>
      <a:pPr>
        <a:defRPr lang="en-US"/>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542925</xdr:colOff>
      <xdr:row>20</xdr:row>
      <xdr:rowOff>0</xdr:rowOff>
    </xdr:from>
    <xdr:to>
      <xdr:col>25</xdr:col>
      <xdr:colOff>610870</xdr:colOff>
      <xdr:row>41</xdr:row>
      <xdr:rowOff>74084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779568</xdr:colOff>
      <xdr:row>42</xdr:row>
      <xdr:rowOff>31750</xdr:rowOff>
    </xdr:from>
    <xdr:to>
      <xdr:col>25</xdr:col>
      <xdr:colOff>643678</xdr:colOff>
      <xdr:row>60</xdr:row>
      <xdr:rowOff>105834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791210</xdr:colOff>
      <xdr:row>19</xdr:row>
      <xdr:rowOff>116416</xdr:rowOff>
    </xdr:from>
    <xdr:to>
      <xdr:col>10</xdr:col>
      <xdr:colOff>46990</xdr:colOff>
      <xdr:row>42</xdr:row>
      <xdr:rowOff>137583</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825499</xdr:colOff>
      <xdr:row>11</xdr:row>
      <xdr:rowOff>74084</xdr:rowOff>
    </xdr:from>
    <xdr:to>
      <xdr:col>4</xdr:col>
      <xdr:colOff>455082</xdr:colOff>
      <xdr:row>17</xdr:row>
      <xdr:rowOff>148167</xdr:rowOff>
    </xdr:to>
    <xdr:sp macro="" textlink="'Orders Pivot Sheet'!A5">
      <xdr:nvSpPr>
        <xdr:cNvPr id="12" name="TextBox 11">
          <a:extLst>
            <a:ext uri="{FF2B5EF4-FFF2-40B4-BE49-F238E27FC236}">
              <a16:creationId xmlns:a16="http://schemas.microsoft.com/office/drawing/2014/main" id="{C6ED4D29-DD0B-2EF6-CDA8-A08B5760E292}"/>
            </a:ext>
          </a:extLst>
        </xdr:cNvPr>
        <xdr:cNvSpPr txBox="1"/>
      </xdr:nvSpPr>
      <xdr:spPr>
        <a:xfrm>
          <a:off x="825499" y="2148417"/>
          <a:ext cx="2910416" cy="11535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908A5F-667B-442F-9CBB-72D08333C5AC}" type="TxLink">
            <a:rPr lang="en-US" sz="2600" b="0" i="0" u="none" strike="noStrike">
              <a:solidFill>
                <a:srgbClr val="000000"/>
              </a:solidFill>
              <a:latin typeface="Aptos" panose="020B0004020202020204" pitchFamily="34" charset="0"/>
              <a:cs typeface="Aparajita" panose="020B0502040204020203" pitchFamily="18" charset="0"/>
            </a:rPr>
            <a:pPr algn="ctr"/>
            <a:t>403</a:t>
          </a:fld>
          <a:endParaRPr lang="en-IN" sz="2600">
            <a:latin typeface="Aptos" panose="020B0004020202020204" pitchFamily="34" charset="0"/>
            <a:cs typeface="Aparajita" panose="020B0502040204020203" pitchFamily="18" charset="0"/>
          </a:endParaRPr>
        </a:p>
      </xdr:txBody>
    </xdr:sp>
    <xdr:clientData/>
  </xdr:twoCellAnchor>
  <xdr:twoCellAnchor>
    <xdr:from>
      <xdr:col>5</xdr:col>
      <xdr:colOff>158749</xdr:colOff>
      <xdr:row>11</xdr:row>
      <xdr:rowOff>84667</xdr:rowOff>
    </xdr:from>
    <xdr:to>
      <xdr:col>9</xdr:col>
      <xdr:colOff>359832</xdr:colOff>
      <xdr:row>17</xdr:row>
      <xdr:rowOff>158750</xdr:rowOff>
    </xdr:to>
    <xdr:sp macro="" textlink="'Orders Pivot Sheet'!C5">
      <xdr:nvSpPr>
        <xdr:cNvPr id="13" name="TextBox 12">
          <a:extLst>
            <a:ext uri="{FF2B5EF4-FFF2-40B4-BE49-F238E27FC236}">
              <a16:creationId xmlns:a16="http://schemas.microsoft.com/office/drawing/2014/main" id="{17B0C7EC-910C-44E4-8A32-FC0EBED4C5FA}"/>
            </a:ext>
          </a:extLst>
        </xdr:cNvPr>
        <xdr:cNvSpPr txBox="1"/>
      </xdr:nvSpPr>
      <xdr:spPr>
        <a:xfrm>
          <a:off x="4169832" y="2159000"/>
          <a:ext cx="3122083" cy="11535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8C9338-5FD2-47B9-9E97-A4A574CA0D2B}" type="TxLink">
            <a:rPr lang="en-US" sz="2600" b="0" i="0" u="none" strike="noStrike">
              <a:solidFill>
                <a:srgbClr val="000000"/>
              </a:solidFill>
              <a:latin typeface="Aptos" panose="020B0004020202020204" pitchFamily="34" charset="0"/>
              <a:ea typeface="+mn-ea"/>
              <a:cs typeface="Aparajita" panose="020B0502040204020203" pitchFamily="18" charset="0"/>
            </a:rPr>
            <a:pPr marL="0" indent="0" algn="ctr"/>
            <a:t>₹ 1,22,381</a:t>
          </a:fld>
          <a:endParaRPr lang="en-IN" sz="2600" b="0" i="0" u="none" strike="noStrike">
            <a:solidFill>
              <a:srgbClr val="000000"/>
            </a:solidFill>
            <a:latin typeface="Aptos" panose="020B0004020202020204" pitchFamily="34" charset="0"/>
            <a:ea typeface="+mn-ea"/>
            <a:cs typeface="Aparajita" panose="020B0502040204020203" pitchFamily="18" charset="0"/>
          </a:endParaRPr>
        </a:p>
      </xdr:txBody>
    </xdr:sp>
    <xdr:clientData/>
  </xdr:twoCellAnchor>
  <xdr:twoCellAnchor>
    <xdr:from>
      <xdr:col>10</xdr:col>
      <xdr:colOff>74082</xdr:colOff>
      <xdr:row>11</xdr:row>
      <xdr:rowOff>63501</xdr:rowOff>
    </xdr:from>
    <xdr:to>
      <xdr:col>14</xdr:col>
      <xdr:colOff>275165</xdr:colOff>
      <xdr:row>17</xdr:row>
      <xdr:rowOff>137584</xdr:rowOff>
    </xdr:to>
    <xdr:sp macro="" textlink="'Orders Pivot Sheet'!E5">
      <xdr:nvSpPr>
        <xdr:cNvPr id="14" name="TextBox 13">
          <a:extLst>
            <a:ext uri="{FF2B5EF4-FFF2-40B4-BE49-F238E27FC236}">
              <a16:creationId xmlns:a16="http://schemas.microsoft.com/office/drawing/2014/main" id="{82873FF5-5253-43C6-BDF8-28FD9A44CD9B}"/>
            </a:ext>
          </a:extLst>
        </xdr:cNvPr>
        <xdr:cNvSpPr txBox="1"/>
      </xdr:nvSpPr>
      <xdr:spPr>
        <a:xfrm>
          <a:off x="7736415" y="2137834"/>
          <a:ext cx="3122083" cy="11535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063BFD-CF4E-4469-ACBA-E983D5A34881}" type="TxLink">
            <a:rPr lang="en-US" sz="2600" b="0" i="0" u="none" strike="noStrike">
              <a:solidFill>
                <a:srgbClr val="000000"/>
              </a:solidFill>
              <a:latin typeface="Aptos" panose="020B0004020202020204" pitchFamily="34" charset="0"/>
              <a:ea typeface="+mn-ea"/>
              <a:cs typeface="Aparajita" panose="020B0502040204020203" pitchFamily="18" charset="0"/>
            </a:rPr>
            <a:pPr marL="0" indent="0" algn="ctr"/>
            <a:t>₹ 303.67</a:t>
          </a:fld>
          <a:endParaRPr lang="en-IN" sz="2600" b="0" i="0" u="none" strike="noStrike">
            <a:solidFill>
              <a:srgbClr val="000000"/>
            </a:solidFill>
            <a:latin typeface="Aptos" panose="020B0004020202020204" pitchFamily="34" charset="0"/>
            <a:ea typeface="+mn-ea"/>
            <a:cs typeface="Aparajita" panose="020B0502040204020203" pitchFamily="18" charset="0"/>
          </a:endParaRPr>
        </a:p>
      </xdr:txBody>
    </xdr:sp>
    <xdr:clientData/>
  </xdr:twoCellAnchor>
  <xdr:twoCellAnchor>
    <xdr:from>
      <xdr:col>14</xdr:col>
      <xdr:colOff>698498</xdr:colOff>
      <xdr:row>11</xdr:row>
      <xdr:rowOff>52918</xdr:rowOff>
    </xdr:from>
    <xdr:to>
      <xdr:col>19</xdr:col>
      <xdr:colOff>169331</xdr:colOff>
      <xdr:row>17</xdr:row>
      <xdr:rowOff>127001</xdr:rowOff>
    </xdr:to>
    <xdr:sp macro="" textlink="'Orders Pivot Sheet'!G5">
      <xdr:nvSpPr>
        <xdr:cNvPr id="15" name="TextBox 14">
          <a:extLst>
            <a:ext uri="{FF2B5EF4-FFF2-40B4-BE49-F238E27FC236}">
              <a16:creationId xmlns:a16="http://schemas.microsoft.com/office/drawing/2014/main" id="{8E533994-88C5-491A-AD32-AD0AF03BE987}"/>
            </a:ext>
          </a:extLst>
        </xdr:cNvPr>
        <xdr:cNvSpPr txBox="1"/>
      </xdr:nvSpPr>
      <xdr:spPr>
        <a:xfrm>
          <a:off x="11281831" y="2127251"/>
          <a:ext cx="3122083" cy="115358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EE2521-7508-45C3-B560-4073F3BBBC02}" type="TxLink">
            <a:rPr lang="en-US" sz="2600" b="0" i="0" u="none" strike="noStrike">
              <a:solidFill>
                <a:srgbClr val="000000"/>
              </a:solidFill>
              <a:latin typeface="Aptos" panose="020B0004020202020204" pitchFamily="34" charset="0"/>
              <a:ea typeface="+mn-ea"/>
              <a:cs typeface="Aparajita" panose="020B0502040204020203" pitchFamily="18" charset="0"/>
            </a:rPr>
            <a:pPr marL="0" indent="0" algn="ctr"/>
            <a:t>-₹ 245.94</a:t>
          </a:fld>
          <a:endParaRPr lang="en-IN" sz="2600" b="0" i="0" u="none" strike="noStrike">
            <a:solidFill>
              <a:srgbClr val="000000"/>
            </a:solidFill>
            <a:latin typeface="Aptos" panose="020B0004020202020204" pitchFamily="34" charset="0"/>
            <a:ea typeface="+mn-ea"/>
            <a:cs typeface="Aparajita" panose="020B0502040204020203" pitchFamily="18" charset="0"/>
          </a:endParaRPr>
        </a:p>
      </xdr:txBody>
    </xdr:sp>
    <xdr:clientData/>
  </xdr:twoCellAnchor>
  <xdr:twoCellAnchor>
    <xdr:from>
      <xdr:col>9</xdr:col>
      <xdr:colOff>306917</xdr:colOff>
      <xdr:row>0</xdr:row>
      <xdr:rowOff>158750</xdr:rowOff>
    </xdr:from>
    <xdr:to>
      <xdr:col>17</xdr:col>
      <xdr:colOff>359834</xdr:colOff>
      <xdr:row>4</xdr:row>
      <xdr:rowOff>0</xdr:rowOff>
    </xdr:to>
    <xdr:sp macro="" textlink="">
      <xdr:nvSpPr>
        <xdr:cNvPr id="16" name="TextBox 15">
          <a:extLst>
            <a:ext uri="{FF2B5EF4-FFF2-40B4-BE49-F238E27FC236}">
              <a16:creationId xmlns:a16="http://schemas.microsoft.com/office/drawing/2014/main" id="{CB2E09F4-DA58-5FE0-45B4-CA16607D4F75}"/>
            </a:ext>
          </a:extLst>
        </xdr:cNvPr>
        <xdr:cNvSpPr txBox="1"/>
      </xdr:nvSpPr>
      <xdr:spPr>
        <a:xfrm>
          <a:off x="7239000" y="158750"/>
          <a:ext cx="5894917" cy="56091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lumMod val="75000"/>
                  <a:lumOff val="25000"/>
                </a:schemeClr>
              </a:solidFill>
              <a:latin typeface="Arial Nova Cond" panose="020B0506020202020204" pitchFamily="34" charset="0"/>
            </a:rPr>
            <a:t>CrustBite Orders Dashboard</a:t>
          </a:r>
        </a:p>
      </xdr:txBody>
    </xdr:sp>
    <xdr:clientData/>
  </xdr:twoCellAnchor>
  <xdr:twoCellAnchor>
    <xdr:from>
      <xdr:col>10</xdr:col>
      <xdr:colOff>603250</xdr:colOff>
      <xdr:row>3</xdr:row>
      <xdr:rowOff>148168</xdr:rowOff>
    </xdr:from>
    <xdr:to>
      <xdr:col>16</xdr:col>
      <xdr:colOff>84667</xdr:colOff>
      <xdr:row>5</xdr:row>
      <xdr:rowOff>74085</xdr:rowOff>
    </xdr:to>
    <xdr:sp macro="" textlink="">
      <xdr:nvSpPr>
        <xdr:cNvPr id="23" name="TextBox 22">
          <a:extLst>
            <a:ext uri="{FF2B5EF4-FFF2-40B4-BE49-F238E27FC236}">
              <a16:creationId xmlns:a16="http://schemas.microsoft.com/office/drawing/2014/main" id="{CE6BA919-23E7-D726-36F0-9741BB42C09F}"/>
            </a:ext>
          </a:extLst>
        </xdr:cNvPr>
        <xdr:cNvSpPr txBox="1"/>
      </xdr:nvSpPr>
      <xdr:spPr>
        <a:xfrm>
          <a:off x="8265583" y="687918"/>
          <a:ext cx="3862917" cy="2857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lumMod val="65000"/>
                  <a:lumOff val="35000"/>
                </a:schemeClr>
              </a:solidFill>
              <a:latin typeface="Aptos" panose="020B0004020202020204" pitchFamily="34" charset="0"/>
            </a:rPr>
            <a:t>2022 Order Performance &amp; Sales Analysis</a:t>
          </a:r>
        </a:p>
        <a:p>
          <a:pPr algn="ctr"/>
          <a:endParaRPr lang="en-IN" sz="1600">
            <a:solidFill>
              <a:schemeClr val="tx1">
                <a:lumMod val="65000"/>
                <a:lumOff val="35000"/>
              </a:schemeClr>
            </a:solidFill>
            <a:latin typeface="Aptos" panose="020B0004020202020204" pitchFamily="34" charset="0"/>
          </a:endParaRPr>
        </a:p>
      </xdr:txBody>
    </xdr:sp>
    <xdr:clientData/>
  </xdr:twoCellAnchor>
  <xdr:twoCellAnchor>
    <xdr:from>
      <xdr:col>1</xdr:col>
      <xdr:colOff>31750</xdr:colOff>
      <xdr:row>8</xdr:row>
      <xdr:rowOff>52918</xdr:rowOff>
    </xdr:from>
    <xdr:to>
      <xdr:col>4</xdr:col>
      <xdr:colOff>127000</xdr:colOff>
      <xdr:row>10</xdr:row>
      <xdr:rowOff>95250</xdr:rowOff>
    </xdr:to>
    <xdr:sp macro="" textlink="">
      <xdr:nvSpPr>
        <xdr:cNvPr id="4" name="TextBox 3">
          <a:extLst>
            <a:ext uri="{FF2B5EF4-FFF2-40B4-BE49-F238E27FC236}">
              <a16:creationId xmlns:a16="http://schemas.microsoft.com/office/drawing/2014/main" id="{139B6121-D9F4-82BC-E972-8A4BBC802207}"/>
            </a:ext>
          </a:extLst>
        </xdr:cNvPr>
        <xdr:cNvSpPr txBox="1"/>
      </xdr:nvSpPr>
      <xdr:spPr>
        <a:xfrm>
          <a:off x="1121833" y="1587501"/>
          <a:ext cx="2286000" cy="40216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75000"/>
                  <a:lumOff val="25000"/>
                </a:schemeClr>
              </a:solidFill>
              <a:latin typeface="Arial Nova Cond" panose="020B0506020202020204" pitchFamily="34" charset="0"/>
            </a:rPr>
            <a:t>Total</a:t>
          </a:r>
          <a:r>
            <a:rPr lang="en-IN" sz="2000" b="1" baseline="0">
              <a:solidFill>
                <a:schemeClr val="tx1">
                  <a:lumMod val="75000"/>
                  <a:lumOff val="25000"/>
                </a:schemeClr>
              </a:solidFill>
              <a:latin typeface="Arial Nova Cond" panose="020B0506020202020204" pitchFamily="34" charset="0"/>
            </a:rPr>
            <a:t> Orders</a:t>
          </a:r>
          <a:endParaRPr lang="en-IN" sz="2000" b="1">
            <a:solidFill>
              <a:schemeClr val="tx1">
                <a:lumMod val="75000"/>
                <a:lumOff val="25000"/>
              </a:schemeClr>
            </a:solidFill>
            <a:latin typeface="Arial Nova Cond" panose="020B0506020202020204" pitchFamily="34" charset="0"/>
          </a:endParaRPr>
        </a:p>
      </xdr:txBody>
    </xdr:sp>
    <xdr:clientData/>
  </xdr:twoCellAnchor>
  <xdr:twoCellAnchor>
    <xdr:from>
      <xdr:col>5</xdr:col>
      <xdr:colOff>539749</xdr:colOff>
      <xdr:row>8</xdr:row>
      <xdr:rowOff>52918</xdr:rowOff>
    </xdr:from>
    <xdr:to>
      <xdr:col>8</xdr:col>
      <xdr:colOff>634999</xdr:colOff>
      <xdr:row>10</xdr:row>
      <xdr:rowOff>95250</xdr:rowOff>
    </xdr:to>
    <xdr:sp macro="" textlink="">
      <xdr:nvSpPr>
        <xdr:cNvPr id="6" name="TextBox 5">
          <a:extLst>
            <a:ext uri="{FF2B5EF4-FFF2-40B4-BE49-F238E27FC236}">
              <a16:creationId xmlns:a16="http://schemas.microsoft.com/office/drawing/2014/main" id="{4110BE3F-5EFC-4721-BB47-9232D7C3D35E}"/>
            </a:ext>
          </a:extLst>
        </xdr:cNvPr>
        <xdr:cNvSpPr txBox="1"/>
      </xdr:nvSpPr>
      <xdr:spPr>
        <a:xfrm>
          <a:off x="4550832" y="1587501"/>
          <a:ext cx="2286000" cy="40216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tx1">
                  <a:lumMod val="75000"/>
                  <a:lumOff val="25000"/>
                </a:schemeClr>
              </a:solidFill>
              <a:latin typeface="Arial Nova Cond" panose="020B0506020202020204" pitchFamily="34" charset="0"/>
              <a:ea typeface="+mn-ea"/>
              <a:cs typeface="+mn-cs"/>
            </a:rPr>
            <a:t>Total Revenue</a:t>
          </a:r>
        </a:p>
      </xdr:txBody>
    </xdr:sp>
    <xdr:clientData/>
  </xdr:twoCellAnchor>
  <xdr:twoCellAnchor>
    <xdr:from>
      <xdr:col>10</xdr:col>
      <xdr:colOff>480482</xdr:colOff>
      <xdr:row>8</xdr:row>
      <xdr:rowOff>35984</xdr:rowOff>
    </xdr:from>
    <xdr:to>
      <xdr:col>13</xdr:col>
      <xdr:colOff>575732</xdr:colOff>
      <xdr:row>10</xdr:row>
      <xdr:rowOff>78316</xdr:rowOff>
    </xdr:to>
    <xdr:sp macro="" textlink="">
      <xdr:nvSpPr>
        <xdr:cNvPr id="7" name="TextBox 6">
          <a:extLst>
            <a:ext uri="{FF2B5EF4-FFF2-40B4-BE49-F238E27FC236}">
              <a16:creationId xmlns:a16="http://schemas.microsoft.com/office/drawing/2014/main" id="{743239D7-50FB-4974-AC57-F9CC99925CCF}"/>
            </a:ext>
          </a:extLst>
        </xdr:cNvPr>
        <xdr:cNvSpPr txBox="1"/>
      </xdr:nvSpPr>
      <xdr:spPr>
        <a:xfrm>
          <a:off x="8142815" y="1570567"/>
          <a:ext cx="2286000" cy="40216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tx1">
                  <a:lumMod val="75000"/>
                  <a:lumOff val="25000"/>
                </a:schemeClr>
              </a:solidFill>
              <a:latin typeface="Arial Nova Cond" panose="020B0506020202020204" pitchFamily="34" charset="0"/>
              <a:ea typeface="+mn-ea"/>
              <a:cs typeface="+mn-cs"/>
            </a:rPr>
            <a:t>Avg Revenue</a:t>
          </a:r>
        </a:p>
      </xdr:txBody>
    </xdr:sp>
    <xdr:clientData/>
  </xdr:twoCellAnchor>
  <xdr:twoCellAnchor>
    <xdr:from>
      <xdr:col>15</xdr:col>
      <xdr:colOff>283633</xdr:colOff>
      <xdr:row>8</xdr:row>
      <xdr:rowOff>29635</xdr:rowOff>
    </xdr:from>
    <xdr:to>
      <xdr:col>18</xdr:col>
      <xdr:colOff>529167</xdr:colOff>
      <xdr:row>10</xdr:row>
      <xdr:rowOff>71967</xdr:rowOff>
    </xdr:to>
    <xdr:sp macro="" textlink="">
      <xdr:nvSpPr>
        <xdr:cNvPr id="8" name="TextBox 7">
          <a:extLst>
            <a:ext uri="{FF2B5EF4-FFF2-40B4-BE49-F238E27FC236}">
              <a16:creationId xmlns:a16="http://schemas.microsoft.com/office/drawing/2014/main" id="{08BCA172-8E5F-4537-98B5-2E383157CB24}"/>
            </a:ext>
          </a:extLst>
        </xdr:cNvPr>
        <xdr:cNvSpPr txBox="1"/>
      </xdr:nvSpPr>
      <xdr:spPr>
        <a:xfrm>
          <a:off x="11597216" y="1564218"/>
          <a:ext cx="2436284" cy="40216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tx1">
                  <a:lumMod val="75000"/>
                  <a:lumOff val="25000"/>
                </a:schemeClr>
              </a:solidFill>
              <a:latin typeface="Arial Nova Cond" panose="020B0506020202020204" pitchFamily="34" charset="0"/>
              <a:ea typeface="+mn-ea"/>
              <a:cs typeface="+mn-cs"/>
            </a:rPr>
            <a:t>Avg</a:t>
          </a:r>
          <a:r>
            <a:rPr lang="en-IN" sz="2000" b="1" baseline="0">
              <a:solidFill>
                <a:schemeClr val="tx1">
                  <a:lumMod val="75000"/>
                  <a:lumOff val="25000"/>
                </a:schemeClr>
              </a:solidFill>
              <a:latin typeface="Arial Nova Cond" panose="020B0506020202020204" pitchFamily="34" charset="0"/>
              <a:ea typeface="+mn-ea"/>
              <a:cs typeface="+mn-cs"/>
            </a:rPr>
            <a:t> Discount Amount</a:t>
          </a:r>
          <a:endParaRPr lang="en-IN" sz="2000" b="1">
            <a:solidFill>
              <a:schemeClr val="tx1">
                <a:lumMod val="75000"/>
                <a:lumOff val="25000"/>
              </a:schemeClr>
            </a:solidFill>
            <a:latin typeface="Arial Nova Cond" panose="020B0506020202020204" pitchFamily="34" charset="0"/>
            <a:ea typeface="+mn-ea"/>
            <a:cs typeface="+mn-cs"/>
          </a:endParaRPr>
        </a:p>
      </xdr:txBody>
    </xdr:sp>
    <xdr:clientData/>
  </xdr:twoCellAnchor>
  <xdr:twoCellAnchor editAs="oneCell">
    <xdr:from>
      <xdr:col>20</xdr:col>
      <xdr:colOff>0</xdr:colOff>
      <xdr:row>10</xdr:row>
      <xdr:rowOff>0</xdr:rowOff>
    </xdr:from>
    <xdr:to>
      <xdr:col>26</xdr:col>
      <xdr:colOff>22734</xdr:colOff>
      <xdr:row>13</xdr:row>
      <xdr:rowOff>86405</xdr:rowOff>
    </xdr:to>
    <mc:AlternateContent xmlns:mc="http://schemas.openxmlformats.org/markup-compatibility/2006">
      <mc:Choice xmlns:a14="http://schemas.microsoft.com/office/drawing/2010/main" Requires="a14">
        <xdr:graphicFrame macro="">
          <xdr:nvGraphicFramePr>
            <xdr:cNvPr id="18" name="Agent 5">
              <a:extLst>
                <a:ext uri="{FF2B5EF4-FFF2-40B4-BE49-F238E27FC236}">
                  <a16:creationId xmlns:a16="http://schemas.microsoft.com/office/drawing/2014/main" id="{D317E551-CE7B-4DEC-8224-95564E0A10D3}"/>
                </a:ext>
              </a:extLst>
            </xdr:cNvPr>
            <xdr:cNvGraphicFramePr/>
          </xdr:nvGraphicFramePr>
          <xdr:xfrm>
            <a:off x="0" y="0"/>
            <a:ext cx="0" cy="0"/>
          </xdr:xfrm>
          <a:graphic>
            <a:graphicData uri="http://schemas.microsoft.com/office/drawing/2010/slicer">
              <sle:slicer xmlns:sle="http://schemas.microsoft.com/office/drawing/2010/slicer" name="Agent 5"/>
            </a:graphicData>
          </a:graphic>
        </xdr:graphicFrame>
      </mc:Choice>
      <mc:Fallback>
        <xdr:sp macro="" textlink="">
          <xdr:nvSpPr>
            <xdr:cNvPr id="0" name=""/>
            <xdr:cNvSpPr>
              <a:spLocks noTextEdit="1"/>
            </xdr:cNvSpPr>
          </xdr:nvSpPr>
          <xdr:spPr>
            <a:xfrm>
              <a:off x="14964833" y="1894417"/>
              <a:ext cx="4404234" cy="626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15</xdr:row>
      <xdr:rowOff>0</xdr:rowOff>
    </xdr:from>
    <xdr:to>
      <xdr:col>26</xdr:col>
      <xdr:colOff>25373</xdr:colOff>
      <xdr:row>18</xdr:row>
      <xdr:rowOff>87368</xdr:rowOff>
    </xdr:to>
    <mc:AlternateContent xmlns:mc="http://schemas.openxmlformats.org/markup-compatibility/2006">
      <mc:Choice xmlns:a14="http://schemas.microsoft.com/office/drawing/2010/main" Requires="a14">
        <xdr:graphicFrame macro="">
          <xdr:nvGraphicFramePr>
            <xdr:cNvPr id="19" name="Order Type 4">
              <a:extLst>
                <a:ext uri="{FF2B5EF4-FFF2-40B4-BE49-F238E27FC236}">
                  <a16:creationId xmlns:a16="http://schemas.microsoft.com/office/drawing/2014/main" id="{6CC1E5A7-38F9-44FF-896B-BD282C066263}"/>
                </a:ext>
              </a:extLst>
            </xdr:cNvPr>
            <xdr:cNvGraphicFramePr/>
          </xdr:nvGraphicFramePr>
          <xdr:xfrm>
            <a:off x="0" y="0"/>
            <a:ext cx="0" cy="0"/>
          </xdr:xfrm>
          <a:graphic>
            <a:graphicData uri="http://schemas.microsoft.com/office/drawing/2010/slicer">
              <sle:slicer xmlns:sle="http://schemas.microsoft.com/office/drawing/2010/slicer" name="Order Type 4"/>
            </a:graphicData>
          </a:graphic>
        </xdr:graphicFrame>
      </mc:Choice>
      <mc:Fallback>
        <xdr:sp macro="" textlink="">
          <xdr:nvSpPr>
            <xdr:cNvPr id="0" name=""/>
            <xdr:cNvSpPr>
              <a:spLocks noTextEdit="1"/>
            </xdr:cNvSpPr>
          </xdr:nvSpPr>
          <xdr:spPr>
            <a:xfrm>
              <a:off x="14964833" y="2794000"/>
              <a:ext cx="4406873" cy="627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wat Seth" refreshedDate="46282.53292164352" createdVersion="5" refreshedVersion="8" minRefreshableVersion="3" recordCount="794" xr:uid="{00000000-000A-0000-FFFF-FFFF00000000}">
  <cacheSource type="worksheet">
    <worksheetSource ref="B5:M799" sheet="Orders Data"/>
  </cacheSource>
  <cacheFields count="12">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base="2">
        <rangePr autoEnd="0"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165">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3.4764237636826234E-3" maxValue="0.99817658128489695"/>
    </cacheField>
    <cacheField name="Revenue before discount" numFmtId="165">
      <sharedItems containsSemiMixedTypes="0" containsString="0" containsNumber="1" containsInteger="1" minValue="190" maxValue="1000"/>
    </cacheField>
    <cacheField name="Revenue after discount" numFmtId="165">
      <sharedItems containsSemiMixedTypes="0" containsString="0" containsNumber="1" containsInteger="1" minValue="1" maxValue="981"/>
    </cacheField>
    <cacheField name="Discount Amount" numFmtId="165">
      <sharedItems containsSemiMixedTypes="0" containsString="0" containsNumber="1" containsInteger="1" minValue="-842" maxValue="-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x v="0"/>
    <n v="8"/>
    <n v="1.3720801233135901E-2"/>
    <n v="576"/>
    <n v="568"/>
    <n v="-8"/>
  </r>
  <r>
    <s v="PBOR00002"/>
    <s v="PIZB0002"/>
    <x v="1"/>
    <x v="1"/>
    <x v="1"/>
    <n v="65"/>
    <x v="1"/>
    <n v="7"/>
    <n v="2.2083854314921901E-2"/>
    <n v="455"/>
    <n v="445"/>
    <n v="-10"/>
  </r>
  <r>
    <s v="PBOR00003"/>
    <s v="PIZB0003"/>
    <x v="2"/>
    <x v="2"/>
    <x v="0"/>
    <n v="250"/>
    <x v="2"/>
    <n v="3"/>
    <n v="0.92842323956324602"/>
    <n v="750"/>
    <n v="54"/>
    <n v="-696"/>
  </r>
  <r>
    <s v="PBOR00004"/>
    <s v="PIZB0004"/>
    <x v="3"/>
    <x v="3"/>
    <x v="1"/>
    <n v="130"/>
    <x v="0"/>
    <n v="5"/>
    <n v="0.20990358910221099"/>
    <n v="650"/>
    <n v="514"/>
    <n v="-136"/>
  </r>
  <r>
    <s v="PBOR00005"/>
    <s v="PIZB0001"/>
    <x v="4"/>
    <x v="0"/>
    <x v="0"/>
    <n v="72"/>
    <x v="1"/>
    <n v="4"/>
    <n v="0.184343159134289"/>
    <n v="288"/>
    <n v="235"/>
    <n v="-53"/>
  </r>
  <r>
    <s v="PBOR00006"/>
    <s v="PIZB0002"/>
    <x v="5"/>
    <x v="1"/>
    <x v="1"/>
    <n v="65"/>
    <x v="2"/>
    <n v="8"/>
    <n v="0.111444290733823"/>
    <n v="520"/>
    <n v="462"/>
    <n v="-58"/>
  </r>
  <r>
    <s v="PBOR00007"/>
    <s v="PIZB0003"/>
    <x v="1"/>
    <x v="2"/>
    <x v="0"/>
    <n v="250"/>
    <x v="0"/>
    <n v="3"/>
    <n v="0.56286929186816403"/>
    <n v="750"/>
    <n v="328"/>
    <n v="-422"/>
  </r>
  <r>
    <s v="PBOR00009"/>
    <s v="PIZB0004"/>
    <x v="6"/>
    <x v="3"/>
    <x v="1"/>
    <n v="130"/>
    <x v="1"/>
    <n v="6"/>
    <n v="3.1389560503074197E-2"/>
    <n v="780"/>
    <n v="756"/>
    <n v="-24"/>
  </r>
  <r>
    <s v="PBOR00010"/>
    <s v="PIZB0005"/>
    <x v="7"/>
    <x v="4"/>
    <x v="0"/>
    <n v="60"/>
    <x v="2"/>
    <n v="7"/>
    <n v="0.23798278495106201"/>
    <n v="420"/>
    <n v="320"/>
    <n v="-100"/>
  </r>
  <r>
    <s v="PBOR00011"/>
    <s v="PIZB0001"/>
    <x v="6"/>
    <x v="0"/>
    <x v="1"/>
    <n v="72"/>
    <x v="0"/>
    <n v="9"/>
    <n v="0.19712344024473999"/>
    <n v="648"/>
    <n v="520"/>
    <n v="-128"/>
  </r>
  <r>
    <s v="PBOR00012"/>
    <s v="PIZB0002"/>
    <x v="2"/>
    <x v="1"/>
    <x v="0"/>
    <n v="65"/>
    <x v="1"/>
    <n v="4"/>
    <n v="6.8295799738434901E-2"/>
    <n v="260"/>
    <n v="242"/>
    <n v="-18"/>
  </r>
  <r>
    <s v="PBOR00013"/>
    <s v="PIZB0003"/>
    <x v="8"/>
    <x v="2"/>
    <x v="1"/>
    <n v="250"/>
    <x v="2"/>
    <n v="3"/>
    <n v="1.6828522965904199E-2"/>
    <n v="750"/>
    <n v="737"/>
    <n v="-13"/>
  </r>
  <r>
    <s v="PBOR00014"/>
    <s v="PIZB0004"/>
    <x v="9"/>
    <x v="3"/>
    <x v="0"/>
    <n v="130"/>
    <x v="0"/>
    <n v="5"/>
    <n v="0.26661284065553498"/>
    <n v="650"/>
    <n v="477"/>
    <n v="-173"/>
  </r>
  <r>
    <s v="PBOR00015"/>
    <s v="PIZB0001"/>
    <x v="4"/>
    <x v="0"/>
    <x v="1"/>
    <n v="72"/>
    <x v="1"/>
    <n v="12"/>
    <n v="0.21251347110701599"/>
    <n v="864"/>
    <n v="680"/>
    <n v="-184"/>
  </r>
  <r>
    <s v="PBOR00016"/>
    <s v="PIZB0002"/>
    <x v="10"/>
    <x v="1"/>
    <x v="0"/>
    <n v="65"/>
    <x v="2"/>
    <n v="4"/>
    <n v="0.109942576614138"/>
    <n v="260"/>
    <n v="231"/>
    <n v="-29"/>
  </r>
  <r>
    <s v="PBOR00017"/>
    <s v="PIZB0003"/>
    <x v="10"/>
    <x v="2"/>
    <x v="1"/>
    <n v="250"/>
    <x v="0"/>
    <n v="3"/>
    <n v="0.53607498908607099"/>
    <n v="750"/>
    <n v="348"/>
    <n v="-402"/>
  </r>
  <r>
    <s v="PBOR00018"/>
    <s v="PIZB0004"/>
    <x v="6"/>
    <x v="3"/>
    <x v="0"/>
    <n v="130"/>
    <x v="1"/>
    <n v="5"/>
    <n v="3.7515550327758003E-2"/>
    <n v="650"/>
    <n v="626"/>
    <n v="-24"/>
  </r>
  <r>
    <s v="PBOR00019"/>
    <s v="PIZB0005"/>
    <x v="9"/>
    <x v="4"/>
    <x v="0"/>
    <n v="60"/>
    <x v="2"/>
    <n v="13"/>
    <n v="2.4938289886663099E-2"/>
    <n v="780"/>
    <n v="761"/>
    <n v="-19"/>
  </r>
  <r>
    <s v="PBOR00020"/>
    <s v="PIZB0006"/>
    <x v="10"/>
    <x v="5"/>
    <x v="1"/>
    <n v="95"/>
    <x v="0"/>
    <n v="5"/>
    <n v="1.0123391970414199E-2"/>
    <n v="475"/>
    <n v="470"/>
    <n v="-5"/>
  </r>
  <r>
    <s v="PBOR00021"/>
    <s v="PIZB0001"/>
    <x v="9"/>
    <x v="0"/>
    <x v="1"/>
    <n v="72"/>
    <x v="1"/>
    <n v="5"/>
    <n v="0.13088693663791401"/>
    <n v="360"/>
    <n v="313"/>
    <n v="-47"/>
  </r>
  <r>
    <s v="PBOR00022"/>
    <s v="PIZB0002"/>
    <x v="10"/>
    <x v="1"/>
    <x v="1"/>
    <n v="65"/>
    <x v="2"/>
    <n v="4"/>
    <n v="6.6961969492996501E-2"/>
    <n v="260"/>
    <n v="243"/>
    <n v="-17"/>
  </r>
  <r>
    <s v="PBOR00023"/>
    <s v="PIZB0003"/>
    <x v="2"/>
    <x v="2"/>
    <x v="0"/>
    <n v="250"/>
    <x v="0"/>
    <n v="3"/>
    <n v="0.36350761794645797"/>
    <n v="750"/>
    <n v="477"/>
    <n v="-273"/>
  </r>
  <r>
    <s v="PBOR00024"/>
    <s v="PIZB0004"/>
    <x v="11"/>
    <x v="3"/>
    <x v="0"/>
    <n v="130"/>
    <x v="1"/>
    <n v="6"/>
    <n v="0.30841415491993102"/>
    <n v="780"/>
    <n v="539"/>
    <n v="-241"/>
  </r>
  <r>
    <s v="PBOR00025"/>
    <s v="PIZB0001"/>
    <x v="9"/>
    <x v="0"/>
    <x v="0"/>
    <n v="72"/>
    <x v="2"/>
    <n v="8"/>
    <n v="0.21287301321989599"/>
    <n v="576"/>
    <n v="453"/>
    <n v="-123"/>
  </r>
  <r>
    <s v="PBOR00026"/>
    <s v="PIZB0002"/>
    <x v="12"/>
    <x v="1"/>
    <x v="0"/>
    <n v="65"/>
    <x v="0"/>
    <n v="5"/>
    <n v="0.11047742601795101"/>
    <n v="325"/>
    <n v="289"/>
    <n v="-36"/>
  </r>
  <r>
    <s v="PBOR00027"/>
    <s v="PIZB0003"/>
    <x v="4"/>
    <x v="2"/>
    <x v="0"/>
    <n v="250"/>
    <x v="1"/>
    <n v="2"/>
    <n v="4.8799156151631197E-2"/>
    <n v="500"/>
    <n v="476"/>
    <n v="-24"/>
  </r>
  <r>
    <s v="PBOR00035"/>
    <s v="PIZB0004"/>
    <x v="10"/>
    <x v="3"/>
    <x v="0"/>
    <n v="130"/>
    <x v="2"/>
    <n v="3"/>
    <n v="0.27879506176921398"/>
    <n v="390"/>
    <n v="281"/>
    <n v="-109"/>
  </r>
  <r>
    <s v="PBOR00029"/>
    <s v="PIZB0005"/>
    <x v="10"/>
    <x v="4"/>
    <x v="0"/>
    <n v="60"/>
    <x v="0"/>
    <n v="14"/>
    <n v="7.6045534046593005E-2"/>
    <n v="840"/>
    <n v="776"/>
    <n v="-64"/>
  </r>
  <r>
    <s v="PBOR00030"/>
    <s v="PIZB0001"/>
    <x v="2"/>
    <x v="0"/>
    <x v="0"/>
    <n v="72"/>
    <x v="1"/>
    <n v="12"/>
    <n v="0.120557627547403"/>
    <n v="864"/>
    <n v="760"/>
    <n v="-104"/>
  </r>
  <r>
    <s v="PBOR00031"/>
    <s v="PIZB0002"/>
    <x v="5"/>
    <x v="1"/>
    <x v="0"/>
    <n v="65"/>
    <x v="2"/>
    <n v="5"/>
    <n v="0.30283946337780598"/>
    <n v="325"/>
    <n v="227"/>
    <n v="-98"/>
  </r>
  <r>
    <s v="PBOR00032"/>
    <s v="PIZB0003"/>
    <x v="11"/>
    <x v="2"/>
    <x v="1"/>
    <n v="250"/>
    <x v="0"/>
    <n v="1"/>
    <n v="0.414018298732583"/>
    <n v="250"/>
    <n v="146"/>
    <n v="-104"/>
  </r>
  <r>
    <s v="PBOR00033"/>
    <s v="PIZB0004"/>
    <x v="13"/>
    <x v="3"/>
    <x v="0"/>
    <n v="130"/>
    <x v="1"/>
    <n v="4"/>
    <n v="6.1603660271292299E-3"/>
    <n v="520"/>
    <n v="517"/>
    <n v="-3"/>
  </r>
  <r>
    <s v="PBOR00036"/>
    <s v="PIZB0001"/>
    <x v="14"/>
    <x v="0"/>
    <x v="0"/>
    <n v="72"/>
    <x v="2"/>
    <n v="8"/>
    <n v="0.10495963672233199"/>
    <n v="576"/>
    <n v="516"/>
    <n v="-60"/>
  </r>
  <r>
    <s v="PBOR00037"/>
    <s v="PIZB0002"/>
    <x v="9"/>
    <x v="1"/>
    <x v="0"/>
    <n v="65"/>
    <x v="0"/>
    <n v="12"/>
    <n v="0.29377273906475598"/>
    <n v="780"/>
    <n v="551"/>
    <n v="-229"/>
  </r>
  <r>
    <s v="PBOR00038"/>
    <s v="PIZB0003"/>
    <x v="7"/>
    <x v="2"/>
    <x v="0"/>
    <n v="250"/>
    <x v="1"/>
    <n v="3"/>
    <n v="0.56559810101924202"/>
    <n v="750"/>
    <n v="326"/>
    <n v="-424"/>
  </r>
  <r>
    <s v="PBOR00040"/>
    <s v="PIZB0004"/>
    <x v="15"/>
    <x v="3"/>
    <x v="0"/>
    <n v="130"/>
    <x v="2"/>
    <n v="3"/>
    <n v="0.14180367825735299"/>
    <n v="390"/>
    <n v="335"/>
    <n v="-55"/>
  </r>
  <r>
    <s v="PBOR00041"/>
    <s v="PIZB0005"/>
    <x v="15"/>
    <x v="4"/>
    <x v="1"/>
    <n v="60"/>
    <x v="0"/>
    <n v="11"/>
    <n v="0.19727585407121501"/>
    <n v="660"/>
    <n v="530"/>
    <n v="-130"/>
  </r>
  <r>
    <s v="PBOR00042"/>
    <s v="PIZB0006"/>
    <x v="8"/>
    <x v="5"/>
    <x v="0"/>
    <n v="95"/>
    <x v="1"/>
    <n v="8"/>
    <n v="0.16026707373910801"/>
    <n v="760"/>
    <n v="638"/>
    <n v="-122"/>
  </r>
  <r>
    <s v="PBOR00043"/>
    <s v="PIZB0001"/>
    <x v="4"/>
    <x v="0"/>
    <x v="0"/>
    <n v="72"/>
    <x v="2"/>
    <n v="5"/>
    <n v="3.67542348170177E-2"/>
    <n v="360"/>
    <n v="347"/>
    <n v="-13"/>
  </r>
  <r>
    <s v="PBOR00044"/>
    <s v="PIZB0002"/>
    <x v="12"/>
    <x v="1"/>
    <x v="0"/>
    <n v="65"/>
    <x v="0"/>
    <n v="6"/>
    <n v="0.120474270341696"/>
    <n v="390"/>
    <n v="343"/>
    <n v="-47"/>
  </r>
  <r>
    <s v="PBOR00045"/>
    <s v="PIZB0003"/>
    <x v="5"/>
    <x v="2"/>
    <x v="1"/>
    <n v="250"/>
    <x v="1"/>
    <n v="1"/>
    <n v="0.38636401364592998"/>
    <n v="250"/>
    <n v="153"/>
    <n v="-97"/>
  </r>
  <r>
    <s v="PBOR00046"/>
    <s v="PIZB0004"/>
    <x v="8"/>
    <x v="3"/>
    <x v="1"/>
    <n v="130"/>
    <x v="2"/>
    <n v="7"/>
    <n v="0.25111930985495901"/>
    <n v="910"/>
    <n v="681"/>
    <n v="-229"/>
  </r>
  <r>
    <s v="PBOR00047"/>
    <s v="PIZB0001"/>
    <x v="15"/>
    <x v="0"/>
    <x v="1"/>
    <n v="72"/>
    <x v="0"/>
    <n v="7"/>
    <n v="0.18099169049889099"/>
    <n v="504"/>
    <n v="413"/>
    <n v="-91"/>
  </r>
  <r>
    <s v="PBOR00048"/>
    <s v="PIZB0002"/>
    <x v="10"/>
    <x v="1"/>
    <x v="1"/>
    <n v="65"/>
    <x v="1"/>
    <n v="3"/>
    <n v="0.173637863650005"/>
    <n v="195"/>
    <n v="161"/>
    <n v="-34"/>
  </r>
  <r>
    <s v="PBOR00049"/>
    <s v="PIZB0003"/>
    <x v="9"/>
    <x v="2"/>
    <x v="1"/>
    <n v="250"/>
    <x v="2"/>
    <n v="1"/>
    <n v="0.75489814137474298"/>
    <n v="250"/>
    <n v="61"/>
    <n v="-189"/>
  </r>
  <r>
    <s v="PBOR00050"/>
    <s v="PIZB0004"/>
    <x v="7"/>
    <x v="3"/>
    <x v="1"/>
    <n v="130"/>
    <x v="0"/>
    <n v="6"/>
    <n v="0.41826226246410803"/>
    <n v="780"/>
    <n v="454"/>
    <n v="-326"/>
  </r>
  <r>
    <s v="PBOR00051"/>
    <s v="PIZB0001"/>
    <x v="14"/>
    <x v="0"/>
    <x v="0"/>
    <n v="72"/>
    <x v="0"/>
    <n v="4"/>
    <n v="1.3720801233135901E-2"/>
    <n v="288"/>
    <n v="284"/>
    <n v="-4"/>
  </r>
  <r>
    <s v="PBOR00052"/>
    <s v="PIZB0002"/>
    <x v="16"/>
    <x v="1"/>
    <x v="1"/>
    <n v="65"/>
    <x v="1"/>
    <n v="6"/>
    <n v="2.2083854314921901E-2"/>
    <n v="390"/>
    <n v="381"/>
    <n v="-9"/>
  </r>
  <r>
    <s v="PBOR00053"/>
    <s v="PIZB0003"/>
    <x v="17"/>
    <x v="2"/>
    <x v="0"/>
    <n v="250"/>
    <x v="2"/>
    <n v="3"/>
    <n v="0.92842323956324602"/>
    <n v="750"/>
    <n v="54"/>
    <n v="-696"/>
  </r>
  <r>
    <s v="PBOR00054"/>
    <s v="PIZB0004"/>
    <x v="17"/>
    <x v="3"/>
    <x v="1"/>
    <n v="130"/>
    <x v="0"/>
    <n v="2"/>
    <n v="0.20990358910221099"/>
    <n v="260"/>
    <n v="205"/>
    <n v="-55"/>
  </r>
  <r>
    <s v="PBOR00055"/>
    <s v="PIZB0001"/>
    <x v="5"/>
    <x v="0"/>
    <x v="0"/>
    <n v="72"/>
    <x v="1"/>
    <n v="5"/>
    <n v="0.184343159134289"/>
    <n v="360"/>
    <n v="294"/>
    <n v="-66"/>
  </r>
  <r>
    <s v="PBOR00056"/>
    <s v="PIZB0002"/>
    <x v="16"/>
    <x v="1"/>
    <x v="1"/>
    <n v="65"/>
    <x v="2"/>
    <n v="8"/>
    <n v="0.111444290733823"/>
    <n v="520"/>
    <n v="462"/>
    <n v="-58"/>
  </r>
  <r>
    <s v="PBOR00057"/>
    <s v="PIZB0003"/>
    <x v="1"/>
    <x v="2"/>
    <x v="0"/>
    <n v="250"/>
    <x v="0"/>
    <n v="3"/>
    <n v="0.56286929186816403"/>
    <n v="750"/>
    <n v="328"/>
    <n v="-422"/>
  </r>
  <r>
    <s v="PBOR00058"/>
    <s v="PIZB0004"/>
    <x v="18"/>
    <x v="3"/>
    <x v="1"/>
    <n v="130"/>
    <x v="1"/>
    <n v="3"/>
    <n v="3.1389560503074197E-2"/>
    <n v="390"/>
    <n v="378"/>
    <n v="-12"/>
  </r>
  <r>
    <s v="PBOR00059"/>
    <s v="PIZB0005"/>
    <x v="3"/>
    <x v="4"/>
    <x v="0"/>
    <n v="60"/>
    <x v="2"/>
    <n v="13"/>
    <n v="0.23798278495106201"/>
    <n v="780"/>
    <n v="594"/>
    <n v="-186"/>
  </r>
  <r>
    <s v="PBOR00060"/>
    <s v="PIZB0001"/>
    <x v="19"/>
    <x v="0"/>
    <x v="1"/>
    <n v="72"/>
    <x v="0"/>
    <n v="5"/>
    <n v="0.19712344024473999"/>
    <n v="360"/>
    <n v="289"/>
    <n v="-71"/>
  </r>
  <r>
    <s v="PBOR00061"/>
    <s v="PIZB0002"/>
    <x v="20"/>
    <x v="1"/>
    <x v="0"/>
    <n v="65"/>
    <x v="1"/>
    <n v="7"/>
    <n v="6.8295799738434901E-2"/>
    <n v="455"/>
    <n v="424"/>
    <n v="-31"/>
  </r>
  <r>
    <s v="PBOR00062"/>
    <s v="PIZB0003"/>
    <x v="21"/>
    <x v="2"/>
    <x v="1"/>
    <n v="250"/>
    <x v="2"/>
    <n v="3"/>
    <n v="1.6828522965904199E-2"/>
    <n v="750"/>
    <n v="737"/>
    <n v="-13"/>
  </r>
  <r>
    <s v="PBOR00063"/>
    <s v="PIZB0004"/>
    <x v="22"/>
    <x v="3"/>
    <x v="0"/>
    <n v="130"/>
    <x v="0"/>
    <n v="6"/>
    <n v="0.26661284065553498"/>
    <n v="780"/>
    <n v="572"/>
    <n v="-208"/>
  </r>
  <r>
    <s v="PBOR00064"/>
    <s v="PIZB0001"/>
    <x v="23"/>
    <x v="0"/>
    <x v="1"/>
    <n v="72"/>
    <x v="1"/>
    <n v="11"/>
    <n v="0.21251347110701599"/>
    <n v="792"/>
    <n v="624"/>
    <n v="-168"/>
  </r>
  <r>
    <s v="PBOR00065"/>
    <s v="PIZB0002"/>
    <x v="24"/>
    <x v="1"/>
    <x v="0"/>
    <n v="65"/>
    <x v="2"/>
    <n v="12"/>
    <n v="0.109942576614138"/>
    <n v="780"/>
    <n v="694"/>
    <n v="-86"/>
  </r>
  <r>
    <s v="PBOR00066"/>
    <s v="PIZB0003"/>
    <x v="16"/>
    <x v="2"/>
    <x v="1"/>
    <n v="250"/>
    <x v="0"/>
    <n v="2"/>
    <n v="0.53607498908607099"/>
    <n v="500"/>
    <n v="232"/>
    <n v="-268"/>
  </r>
  <r>
    <s v="PBOR00067"/>
    <s v="PIZB0004"/>
    <x v="25"/>
    <x v="3"/>
    <x v="0"/>
    <n v="130"/>
    <x v="1"/>
    <n v="6"/>
    <n v="3.7515550327758003E-2"/>
    <n v="780"/>
    <n v="751"/>
    <n v="-29"/>
  </r>
  <r>
    <s v="PBOR00068"/>
    <s v="PIZB0005"/>
    <x v="6"/>
    <x v="4"/>
    <x v="0"/>
    <n v="60"/>
    <x v="2"/>
    <n v="15"/>
    <n v="2.4938289886663099E-2"/>
    <n v="900"/>
    <n v="878"/>
    <n v="-22"/>
  </r>
  <r>
    <s v="PBOR00069"/>
    <s v="PIZB0006"/>
    <x v="2"/>
    <x v="5"/>
    <x v="1"/>
    <n v="95"/>
    <x v="0"/>
    <n v="9"/>
    <n v="1.0123391970414199E-2"/>
    <n v="855"/>
    <n v="846"/>
    <n v="-9"/>
  </r>
  <r>
    <s v="PBOR00070"/>
    <s v="PIZB0001"/>
    <x v="26"/>
    <x v="0"/>
    <x v="1"/>
    <n v="72"/>
    <x v="1"/>
    <n v="12"/>
    <n v="0.13088693663791401"/>
    <n v="864"/>
    <n v="751"/>
    <n v="-113"/>
  </r>
  <r>
    <s v="PBOR00071"/>
    <s v="PIZB0002"/>
    <x v="4"/>
    <x v="1"/>
    <x v="1"/>
    <n v="65"/>
    <x v="2"/>
    <n v="7"/>
    <n v="6.6961969492996501E-2"/>
    <n v="455"/>
    <n v="425"/>
    <n v="-30"/>
  </r>
  <r>
    <s v="PBOR00072"/>
    <s v="PIZB0003"/>
    <x v="27"/>
    <x v="2"/>
    <x v="0"/>
    <n v="250"/>
    <x v="0"/>
    <n v="3"/>
    <n v="0.36350761794645797"/>
    <n v="750"/>
    <n v="477"/>
    <n v="-273"/>
  </r>
  <r>
    <s v="PBOR00073"/>
    <s v="PIZB0004"/>
    <x v="15"/>
    <x v="3"/>
    <x v="0"/>
    <n v="130"/>
    <x v="1"/>
    <n v="6"/>
    <n v="0.30841415491993102"/>
    <n v="780"/>
    <n v="539"/>
    <n v="-241"/>
  </r>
  <r>
    <s v="PBOR00074"/>
    <s v="PIZB0001"/>
    <x v="28"/>
    <x v="0"/>
    <x v="0"/>
    <n v="72"/>
    <x v="2"/>
    <n v="9"/>
    <n v="0.21287301321989599"/>
    <n v="648"/>
    <n v="510"/>
    <n v="-138"/>
  </r>
  <r>
    <s v="PBOR00075"/>
    <s v="PIZB0002"/>
    <x v="8"/>
    <x v="1"/>
    <x v="0"/>
    <n v="65"/>
    <x v="0"/>
    <n v="4"/>
    <n v="0.11047742601795101"/>
    <n v="260"/>
    <n v="231"/>
    <n v="-29"/>
  </r>
  <r>
    <s v="PBOR00076"/>
    <s v="PIZB0003"/>
    <x v="6"/>
    <x v="2"/>
    <x v="0"/>
    <n v="250"/>
    <x v="1"/>
    <n v="2"/>
    <n v="4.8799156151631197E-2"/>
    <n v="500"/>
    <n v="476"/>
    <n v="-24"/>
  </r>
  <r>
    <s v="PBOR00077"/>
    <s v="PIZB0004"/>
    <x v="27"/>
    <x v="3"/>
    <x v="0"/>
    <n v="130"/>
    <x v="2"/>
    <n v="6"/>
    <n v="0.27879506176921398"/>
    <n v="780"/>
    <n v="563"/>
    <n v="-217"/>
  </r>
  <r>
    <s v="PBOR00078"/>
    <s v="PIZB0005"/>
    <x v="10"/>
    <x v="4"/>
    <x v="0"/>
    <n v="60"/>
    <x v="0"/>
    <n v="9"/>
    <n v="7.6045534046593005E-2"/>
    <n v="540"/>
    <n v="499"/>
    <n v="-41"/>
  </r>
  <r>
    <s v="PBOR00079"/>
    <s v="PIZB0001"/>
    <x v="29"/>
    <x v="0"/>
    <x v="0"/>
    <n v="72"/>
    <x v="1"/>
    <n v="11"/>
    <n v="0.120557627547403"/>
    <n v="792"/>
    <n v="697"/>
    <n v="-95"/>
  </r>
  <r>
    <s v="PBOR00080"/>
    <s v="PIZB0002"/>
    <x v="30"/>
    <x v="1"/>
    <x v="0"/>
    <n v="65"/>
    <x v="2"/>
    <n v="13"/>
    <n v="0.30283946337780598"/>
    <n v="845"/>
    <n v="589"/>
    <n v="-256"/>
  </r>
  <r>
    <s v="PBOR00081"/>
    <s v="PIZB0003"/>
    <x v="31"/>
    <x v="2"/>
    <x v="1"/>
    <n v="250"/>
    <x v="0"/>
    <n v="2"/>
    <n v="0.414018298732583"/>
    <n v="500"/>
    <n v="293"/>
    <n v="-207"/>
  </r>
  <r>
    <s v="PBOR00082"/>
    <s v="PIZB0004"/>
    <x v="27"/>
    <x v="3"/>
    <x v="0"/>
    <n v="130"/>
    <x v="1"/>
    <n v="6"/>
    <n v="6.1603660271292299E-3"/>
    <n v="780"/>
    <n v="775"/>
    <n v="-5"/>
  </r>
  <r>
    <s v="PBOR00083"/>
    <s v="PIZB0001"/>
    <x v="29"/>
    <x v="0"/>
    <x v="0"/>
    <n v="72"/>
    <x v="2"/>
    <n v="12"/>
    <n v="0.10495963672233199"/>
    <n v="864"/>
    <n v="773"/>
    <n v="-91"/>
  </r>
  <r>
    <s v="PBOR00084"/>
    <s v="PIZB0002"/>
    <x v="1"/>
    <x v="1"/>
    <x v="0"/>
    <n v="65"/>
    <x v="0"/>
    <n v="11"/>
    <n v="0.29377273906475598"/>
    <n v="715"/>
    <n v="505"/>
    <n v="-210"/>
  </r>
  <r>
    <s v="PBOR00085"/>
    <s v="PIZB0003"/>
    <x v="11"/>
    <x v="2"/>
    <x v="0"/>
    <n v="250"/>
    <x v="1"/>
    <n v="3"/>
    <n v="0.56559810101924202"/>
    <n v="750"/>
    <n v="326"/>
    <n v="-424"/>
  </r>
  <r>
    <s v="PBOR00086"/>
    <s v="PIZB0004"/>
    <x v="5"/>
    <x v="3"/>
    <x v="0"/>
    <n v="130"/>
    <x v="2"/>
    <n v="4"/>
    <n v="0.14180367825735299"/>
    <n v="520"/>
    <n v="446"/>
    <n v="-74"/>
  </r>
  <r>
    <s v="PBOR00087"/>
    <s v="PIZB0005"/>
    <x v="2"/>
    <x v="4"/>
    <x v="1"/>
    <n v="60"/>
    <x v="0"/>
    <n v="14"/>
    <n v="0.19727585407121501"/>
    <n v="840"/>
    <n v="674"/>
    <n v="-166"/>
  </r>
  <r>
    <s v="PBOR00088"/>
    <s v="PIZB0006"/>
    <x v="31"/>
    <x v="5"/>
    <x v="0"/>
    <n v="95"/>
    <x v="1"/>
    <n v="2"/>
    <n v="0.16026707373910801"/>
    <n v="190"/>
    <n v="160"/>
    <n v="-30"/>
  </r>
  <r>
    <s v="PBOR00089"/>
    <s v="PIZB0001"/>
    <x v="3"/>
    <x v="0"/>
    <x v="0"/>
    <n v="72"/>
    <x v="2"/>
    <n v="4"/>
    <n v="3.67542348170177E-2"/>
    <n v="288"/>
    <n v="277"/>
    <n v="-11"/>
  </r>
  <r>
    <s v="PBOR00090"/>
    <s v="PIZB0002"/>
    <x v="25"/>
    <x v="1"/>
    <x v="0"/>
    <n v="65"/>
    <x v="0"/>
    <n v="6"/>
    <n v="0.120474270341696"/>
    <n v="390"/>
    <n v="343"/>
    <n v="-47"/>
  </r>
  <r>
    <s v="PBOR00091"/>
    <s v="PIZB0003"/>
    <x v="7"/>
    <x v="2"/>
    <x v="1"/>
    <n v="250"/>
    <x v="1"/>
    <n v="2"/>
    <n v="0.38636401364592998"/>
    <n v="500"/>
    <n v="307"/>
    <n v="-193"/>
  </r>
  <r>
    <s v="PBOR00092"/>
    <s v="PIZB0004"/>
    <x v="25"/>
    <x v="3"/>
    <x v="1"/>
    <n v="130"/>
    <x v="2"/>
    <n v="5"/>
    <n v="0.25111930985495901"/>
    <n v="650"/>
    <n v="487"/>
    <n v="-163"/>
  </r>
  <r>
    <s v="PBOR00093"/>
    <s v="PIZB0001"/>
    <x v="32"/>
    <x v="0"/>
    <x v="1"/>
    <n v="72"/>
    <x v="0"/>
    <n v="6"/>
    <n v="0.18099169049889099"/>
    <n v="432"/>
    <n v="354"/>
    <n v="-78"/>
  </r>
  <r>
    <s v="PBOR00094"/>
    <s v="PIZB0002"/>
    <x v="33"/>
    <x v="1"/>
    <x v="1"/>
    <n v="65"/>
    <x v="1"/>
    <n v="6"/>
    <n v="0.173637863650005"/>
    <n v="390"/>
    <n v="322"/>
    <n v="-68"/>
  </r>
  <r>
    <s v="PBOR00095"/>
    <s v="PIZB0003"/>
    <x v="33"/>
    <x v="2"/>
    <x v="1"/>
    <n v="250"/>
    <x v="2"/>
    <n v="3"/>
    <n v="0.75489814137474298"/>
    <n v="750"/>
    <n v="184"/>
    <n v="-566"/>
  </r>
  <r>
    <s v="PBOR00096"/>
    <s v="PIZB0004"/>
    <x v="22"/>
    <x v="3"/>
    <x v="1"/>
    <n v="130"/>
    <x v="0"/>
    <n v="4"/>
    <n v="0.41826226246410803"/>
    <n v="520"/>
    <n v="303"/>
    <n v="-217"/>
  </r>
  <r>
    <s v="PBOR00097"/>
    <s v="PIZB0001"/>
    <x v="34"/>
    <x v="0"/>
    <x v="0"/>
    <n v="72"/>
    <x v="0"/>
    <n v="11"/>
    <n v="0.521835125908508"/>
    <n v="792"/>
    <n v="379"/>
    <n v="-413"/>
  </r>
  <r>
    <s v="PBOR00098"/>
    <s v="PIZB0002"/>
    <x v="7"/>
    <x v="1"/>
    <x v="1"/>
    <n v="65"/>
    <x v="1"/>
    <n v="12"/>
    <n v="0.44072649836078998"/>
    <n v="780"/>
    <n v="436"/>
    <n v="-344"/>
  </r>
  <r>
    <s v="PBOR00099"/>
    <s v="PIZB0003"/>
    <x v="3"/>
    <x v="2"/>
    <x v="0"/>
    <n v="250"/>
    <x v="2"/>
    <n v="3"/>
    <n v="0.301237691320284"/>
    <n v="750"/>
    <n v="524"/>
    <n v="-226"/>
  </r>
  <r>
    <s v="PBOR00100"/>
    <s v="PIZB0004"/>
    <x v="31"/>
    <x v="3"/>
    <x v="1"/>
    <n v="130"/>
    <x v="0"/>
    <n v="4"/>
    <n v="0.420205578639057"/>
    <n v="520"/>
    <n v="301"/>
    <n v="-219"/>
  </r>
  <r>
    <s v="PBOR00101"/>
    <s v="PIZB0001"/>
    <x v="4"/>
    <x v="0"/>
    <x v="0"/>
    <n v="72"/>
    <x v="1"/>
    <n v="10"/>
    <n v="0.381799662498992"/>
    <n v="720"/>
    <n v="445"/>
    <n v="-275"/>
  </r>
  <r>
    <s v="PBOR00102"/>
    <s v="PIZB0002"/>
    <x v="34"/>
    <x v="1"/>
    <x v="1"/>
    <n v="65"/>
    <x v="2"/>
    <n v="5"/>
    <n v="4.8435914836800799E-3"/>
    <n v="325"/>
    <n v="323"/>
    <n v="-2"/>
  </r>
  <r>
    <s v="PBOR00103"/>
    <s v="PIZB0003"/>
    <x v="13"/>
    <x v="2"/>
    <x v="0"/>
    <n v="250"/>
    <x v="0"/>
    <n v="2"/>
    <n v="0.63857584714373195"/>
    <n v="500"/>
    <n v="181"/>
    <n v="-319"/>
  </r>
  <r>
    <s v="PBOR00104"/>
    <s v="PIZB0004"/>
    <x v="35"/>
    <x v="3"/>
    <x v="1"/>
    <n v="130"/>
    <x v="1"/>
    <n v="7"/>
    <n v="0.92544771931561698"/>
    <n v="910"/>
    <n v="68"/>
    <n v="-842"/>
  </r>
  <r>
    <s v="PBOR00105"/>
    <s v="PIZB0005"/>
    <x v="2"/>
    <x v="4"/>
    <x v="0"/>
    <n v="60"/>
    <x v="2"/>
    <n v="10"/>
    <n v="4.9069353138029403E-2"/>
    <n v="600"/>
    <n v="571"/>
    <n v="-29"/>
  </r>
  <r>
    <s v="PBOR00106"/>
    <s v="PIZB0001"/>
    <x v="13"/>
    <x v="0"/>
    <x v="1"/>
    <n v="72"/>
    <x v="0"/>
    <n v="11"/>
    <n v="0.78757795549188003"/>
    <n v="792"/>
    <n v="168"/>
    <n v="-624"/>
  </r>
  <r>
    <s v="PBOR00107"/>
    <s v="PIZB0002"/>
    <x v="18"/>
    <x v="1"/>
    <x v="0"/>
    <n v="65"/>
    <x v="1"/>
    <n v="13"/>
    <n v="0.44686038780674098"/>
    <n v="845"/>
    <n v="467"/>
    <n v="-378"/>
  </r>
  <r>
    <s v="PBOR00108"/>
    <s v="PIZB0003"/>
    <x v="23"/>
    <x v="2"/>
    <x v="1"/>
    <n v="250"/>
    <x v="2"/>
    <n v="2"/>
    <n v="0.89674363393445999"/>
    <n v="500"/>
    <n v="52"/>
    <n v="-448"/>
  </r>
  <r>
    <s v="PBOR00109"/>
    <s v="PIZB0004"/>
    <x v="36"/>
    <x v="3"/>
    <x v="0"/>
    <n v="130"/>
    <x v="0"/>
    <n v="6"/>
    <n v="3.2373342558606799E-2"/>
    <n v="780"/>
    <n v="755"/>
    <n v="-25"/>
  </r>
  <r>
    <s v="PBOR00110"/>
    <s v="PIZB0001"/>
    <x v="37"/>
    <x v="0"/>
    <x v="1"/>
    <n v="72"/>
    <x v="1"/>
    <n v="11"/>
    <n v="0.942472001521382"/>
    <n v="792"/>
    <n v="46"/>
    <n v="-746"/>
  </r>
  <r>
    <s v="PBOR00111"/>
    <s v="PIZB0002"/>
    <x v="4"/>
    <x v="1"/>
    <x v="0"/>
    <n v="65"/>
    <x v="2"/>
    <n v="7"/>
    <n v="0.24863680679080499"/>
    <n v="455"/>
    <n v="342"/>
    <n v="-113"/>
  </r>
  <r>
    <s v="PBOR00112"/>
    <s v="PIZB0003"/>
    <x v="3"/>
    <x v="2"/>
    <x v="1"/>
    <n v="250"/>
    <x v="0"/>
    <n v="1"/>
    <n v="4.9896521056402299E-2"/>
    <n v="250"/>
    <n v="238"/>
    <n v="-12"/>
  </r>
  <r>
    <s v="PBOR00113"/>
    <s v="PIZB0004"/>
    <x v="35"/>
    <x v="3"/>
    <x v="0"/>
    <n v="130"/>
    <x v="1"/>
    <n v="7"/>
    <n v="0.496183401882766"/>
    <n v="910"/>
    <n v="458"/>
    <n v="-452"/>
  </r>
  <r>
    <s v="PBOR00114"/>
    <s v="PIZB0005"/>
    <x v="11"/>
    <x v="4"/>
    <x v="0"/>
    <n v="60"/>
    <x v="2"/>
    <n v="13"/>
    <n v="0.62889621592411704"/>
    <n v="780"/>
    <n v="289"/>
    <n v="-491"/>
  </r>
  <r>
    <s v="PBOR00115"/>
    <s v="PIZB0006"/>
    <x v="10"/>
    <x v="5"/>
    <x v="1"/>
    <n v="95"/>
    <x v="0"/>
    <n v="8"/>
    <n v="0.87580490637929698"/>
    <n v="760"/>
    <n v="94"/>
    <n v="-666"/>
  </r>
  <r>
    <s v="PBOR00116"/>
    <s v="PIZB0001"/>
    <x v="1"/>
    <x v="0"/>
    <x v="1"/>
    <n v="72"/>
    <x v="1"/>
    <n v="11"/>
    <n v="0.37069854126093299"/>
    <n v="792"/>
    <n v="498"/>
    <n v="-294"/>
  </r>
  <r>
    <s v="PBOR00117"/>
    <s v="PIZB0002"/>
    <x v="17"/>
    <x v="1"/>
    <x v="1"/>
    <n v="65"/>
    <x v="2"/>
    <n v="10"/>
    <n v="0.64422602074286195"/>
    <n v="650"/>
    <n v="231"/>
    <n v="-419"/>
  </r>
  <r>
    <s v="PBOR00118"/>
    <s v="PIZB0003"/>
    <x v="17"/>
    <x v="2"/>
    <x v="0"/>
    <n v="250"/>
    <x v="0"/>
    <n v="2"/>
    <n v="0.76652707543193799"/>
    <n v="500"/>
    <n v="117"/>
    <n v="-383"/>
  </r>
  <r>
    <s v="PBOR00119"/>
    <s v="PIZB0004"/>
    <x v="37"/>
    <x v="3"/>
    <x v="0"/>
    <n v="130"/>
    <x v="1"/>
    <n v="2"/>
    <n v="0.74416329829954497"/>
    <n v="260"/>
    <n v="67"/>
    <n v="-193"/>
  </r>
  <r>
    <s v="PBOR00120"/>
    <s v="PIZB0001"/>
    <x v="4"/>
    <x v="0"/>
    <x v="0"/>
    <n v="72"/>
    <x v="2"/>
    <n v="8"/>
    <n v="0.48484032292333201"/>
    <n v="576"/>
    <n v="297"/>
    <n v="-279"/>
  </r>
  <r>
    <s v="PBOR00121"/>
    <s v="PIZB0002"/>
    <x v="2"/>
    <x v="1"/>
    <x v="0"/>
    <n v="65"/>
    <x v="0"/>
    <n v="8"/>
    <n v="0.10556900790048999"/>
    <n v="520"/>
    <n v="465"/>
    <n v="-55"/>
  </r>
  <r>
    <s v="PBOR00122"/>
    <s v="PIZB0003"/>
    <x v="12"/>
    <x v="2"/>
    <x v="0"/>
    <n v="250"/>
    <x v="1"/>
    <n v="1"/>
    <n v="0.35681327352398801"/>
    <n v="250"/>
    <n v="161"/>
    <n v="-89"/>
  </r>
  <r>
    <s v="PBOR00123"/>
    <s v="PIZB0004"/>
    <x v="0"/>
    <x v="3"/>
    <x v="0"/>
    <n v="130"/>
    <x v="2"/>
    <n v="2"/>
    <n v="0.389661552471671"/>
    <n v="260"/>
    <n v="159"/>
    <n v="-101"/>
  </r>
  <r>
    <s v="PBOR00124"/>
    <s v="PIZB0005"/>
    <x v="38"/>
    <x v="4"/>
    <x v="0"/>
    <n v="60"/>
    <x v="0"/>
    <n v="6"/>
    <n v="0.27342799854809502"/>
    <n v="360"/>
    <n v="262"/>
    <n v="-98"/>
  </r>
  <r>
    <s v="PBOR00125"/>
    <s v="PIZB0001"/>
    <x v="1"/>
    <x v="0"/>
    <x v="0"/>
    <n v="72"/>
    <x v="1"/>
    <n v="11"/>
    <n v="0.68404340685025999"/>
    <n v="792"/>
    <n v="250"/>
    <n v="-542"/>
  </r>
  <r>
    <s v="PBOR00126"/>
    <s v="PIZB0002"/>
    <x v="2"/>
    <x v="1"/>
    <x v="0"/>
    <n v="65"/>
    <x v="2"/>
    <n v="4"/>
    <n v="0.30511671475159702"/>
    <n v="260"/>
    <n v="181"/>
    <n v="-79"/>
  </r>
  <r>
    <s v="PBOR00127"/>
    <s v="PIZB0003"/>
    <x v="5"/>
    <x v="2"/>
    <x v="1"/>
    <n v="250"/>
    <x v="0"/>
    <n v="3"/>
    <n v="0.26634683182511398"/>
    <n v="750"/>
    <n v="550"/>
    <n v="-200"/>
  </r>
  <r>
    <s v="PBOR00128"/>
    <s v="PIZB0004"/>
    <x v="3"/>
    <x v="3"/>
    <x v="0"/>
    <n v="130"/>
    <x v="1"/>
    <n v="2"/>
    <n v="0.95598379426072999"/>
    <n v="260"/>
    <n v="11"/>
    <n v="-249"/>
  </r>
  <r>
    <s v="PBOR00129"/>
    <s v="PIZB0001"/>
    <x v="36"/>
    <x v="0"/>
    <x v="0"/>
    <n v="72"/>
    <x v="2"/>
    <n v="3"/>
    <n v="0.78465682989489005"/>
    <n v="216"/>
    <n v="47"/>
    <n v="-169"/>
  </r>
  <r>
    <s v="PBOR00130"/>
    <s v="PIZB0002"/>
    <x v="24"/>
    <x v="1"/>
    <x v="0"/>
    <n v="65"/>
    <x v="0"/>
    <n v="4"/>
    <n v="0.92531650826605805"/>
    <n v="260"/>
    <n v="19"/>
    <n v="-241"/>
  </r>
  <r>
    <s v="PBOR00131"/>
    <s v="PIZB0003"/>
    <x v="21"/>
    <x v="2"/>
    <x v="0"/>
    <n v="250"/>
    <x v="1"/>
    <n v="3"/>
    <n v="0.91314982692991498"/>
    <n v="750"/>
    <n v="65"/>
    <n v="-685"/>
  </r>
  <r>
    <s v="PBOR00132"/>
    <s v="PIZB0004"/>
    <x v="32"/>
    <x v="3"/>
    <x v="0"/>
    <n v="130"/>
    <x v="2"/>
    <n v="2"/>
    <n v="8.4586093307030194E-2"/>
    <n v="260"/>
    <n v="238"/>
    <n v="-22"/>
  </r>
  <r>
    <s v="PBOR00133"/>
    <s v="PIZB0005"/>
    <x v="4"/>
    <x v="4"/>
    <x v="1"/>
    <n v="60"/>
    <x v="0"/>
    <n v="7"/>
    <n v="0.92983220282837498"/>
    <n v="420"/>
    <n v="29"/>
    <n v="-391"/>
  </r>
  <r>
    <s v="PBOR00134"/>
    <s v="PIZB0006"/>
    <x v="2"/>
    <x v="5"/>
    <x v="0"/>
    <n v="95"/>
    <x v="1"/>
    <n v="6"/>
    <n v="0.13029960752667599"/>
    <n v="570"/>
    <n v="496"/>
    <n v="-74"/>
  </r>
  <r>
    <s v="PBOR00135"/>
    <s v="PIZB0001"/>
    <x v="27"/>
    <x v="0"/>
    <x v="0"/>
    <n v="72"/>
    <x v="2"/>
    <n v="6"/>
    <n v="0.41456728266200199"/>
    <n v="432"/>
    <n v="253"/>
    <n v="-179"/>
  </r>
  <r>
    <s v="PBOR00136"/>
    <s v="PIZB0002"/>
    <x v="0"/>
    <x v="1"/>
    <x v="0"/>
    <n v="65"/>
    <x v="0"/>
    <n v="8"/>
    <n v="0.77953807822657895"/>
    <n v="520"/>
    <n v="115"/>
    <n v="-405"/>
  </r>
  <r>
    <s v="PBOR00137"/>
    <s v="PIZB0003"/>
    <x v="1"/>
    <x v="2"/>
    <x v="1"/>
    <n v="250"/>
    <x v="1"/>
    <n v="3"/>
    <n v="0.56602493379943297"/>
    <n v="750"/>
    <n v="325"/>
    <n v="-425"/>
  </r>
  <r>
    <s v="PBOR00138"/>
    <s v="PIZB0004"/>
    <x v="28"/>
    <x v="3"/>
    <x v="1"/>
    <n v="130"/>
    <x v="2"/>
    <n v="2"/>
    <n v="0.79227719470858304"/>
    <n v="260"/>
    <n v="54"/>
    <n v="-206"/>
  </r>
  <r>
    <s v="PBOR00139"/>
    <s v="PIZB0001"/>
    <x v="8"/>
    <x v="0"/>
    <x v="1"/>
    <n v="72"/>
    <x v="0"/>
    <n v="9"/>
    <n v="9.6806596410280193E-2"/>
    <n v="648"/>
    <n v="585"/>
    <n v="-63"/>
  </r>
  <r>
    <s v="PBOR00140"/>
    <s v="PIZB0002"/>
    <x v="33"/>
    <x v="1"/>
    <x v="1"/>
    <n v="65"/>
    <x v="1"/>
    <n v="8"/>
    <n v="0.10738058788365799"/>
    <n v="520"/>
    <n v="464"/>
    <n v="-56"/>
  </r>
  <r>
    <s v="PBOR00141"/>
    <s v="PIZB0003"/>
    <x v="14"/>
    <x v="2"/>
    <x v="1"/>
    <n v="250"/>
    <x v="2"/>
    <n v="1"/>
    <n v="0.68298720032284699"/>
    <n v="250"/>
    <n v="79"/>
    <n v="-171"/>
  </r>
  <r>
    <s v="PBOR00142"/>
    <s v="PIZB0004"/>
    <x v="16"/>
    <x v="3"/>
    <x v="1"/>
    <n v="130"/>
    <x v="0"/>
    <n v="2"/>
    <n v="8.8476327566972005E-2"/>
    <n v="260"/>
    <n v="237"/>
    <n v="-23"/>
  </r>
  <r>
    <s v="PBOR00143"/>
    <s v="PIZB0001"/>
    <x v="17"/>
    <x v="0"/>
    <x v="0"/>
    <n v="72"/>
    <x v="0"/>
    <n v="9"/>
    <n v="0.12263076179641"/>
    <n v="648"/>
    <n v="569"/>
    <n v="-79"/>
  </r>
  <r>
    <s v="PBOR00144"/>
    <s v="PIZB0002"/>
    <x v="17"/>
    <x v="1"/>
    <x v="1"/>
    <n v="65"/>
    <x v="1"/>
    <n v="7"/>
    <n v="0.213481238544389"/>
    <n v="455"/>
    <n v="358"/>
    <n v="-97"/>
  </r>
  <r>
    <s v="PBOR00145"/>
    <s v="PIZB0003"/>
    <x v="5"/>
    <x v="2"/>
    <x v="0"/>
    <n v="250"/>
    <x v="2"/>
    <n v="3"/>
    <n v="0.51777110877083798"/>
    <n v="750"/>
    <n v="362"/>
    <n v="-388"/>
  </r>
  <r>
    <s v="PBOR00146"/>
    <s v="PIZB0004"/>
    <x v="16"/>
    <x v="3"/>
    <x v="1"/>
    <n v="130"/>
    <x v="0"/>
    <n v="3"/>
    <n v="0.24714123665878601"/>
    <n v="390"/>
    <n v="294"/>
    <n v="-96"/>
  </r>
  <r>
    <s v="PBOR00147"/>
    <s v="PIZB0001"/>
    <x v="1"/>
    <x v="0"/>
    <x v="0"/>
    <n v="72"/>
    <x v="1"/>
    <n v="4"/>
    <n v="0.74108890181243603"/>
    <n v="288"/>
    <n v="75"/>
    <n v="-213"/>
  </r>
  <r>
    <s v="PBOR00148"/>
    <s v="PIZB0002"/>
    <x v="18"/>
    <x v="1"/>
    <x v="1"/>
    <n v="65"/>
    <x v="2"/>
    <n v="5"/>
    <n v="0.75895504749183296"/>
    <n v="325"/>
    <n v="78"/>
    <n v="-247"/>
  </r>
  <r>
    <s v="PBOR00149"/>
    <s v="PIZB0003"/>
    <x v="3"/>
    <x v="2"/>
    <x v="0"/>
    <n v="250"/>
    <x v="0"/>
    <n v="4"/>
    <n v="0.39519452416647499"/>
    <n v="1000"/>
    <n v="605"/>
    <n v="-395"/>
  </r>
  <r>
    <s v="PBOR00150"/>
    <s v="PIZB0004"/>
    <x v="19"/>
    <x v="3"/>
    <x v="1"/>
    <n v="130"/>
    <x v="1"/>
    <n v="5"/>
    <n v="2.58578141589377E-2"/>
    <n v="650"/>
    <n v="633"/>
    <n v="-17"/>
  </r>
  <r>
    <s v="PBOR00151"/>
    <s v="PIZB0005"/>
    <x v="20"/>
    <x v="4"/>
    <x v="0"/>
    <n v="60"/>
    <x v="2"/>
    <n v="10"/>
    <n v="0.35224195755599902"/>
    <n v="600"/>
    <n v="389"/>
    <n v="-211"/>
  </r>
  <r>
    <s v="PBOR00152"/>
    <s v="PIZB0001"/>
    <x v="21"/>
    <x v="0"/>
    <x v="1"/>
    <n v="72"/>
    <x v="0"/>
    <n v="12"/>
    <n v="4.2934737769464902E-2"/>
    <n v="864"/>
    <n v="827"/>
    <n v="-37"/>
  </r>
  <r>
    <s v="PBOR00153"/>
    <s v="PIZB0002"/>
    <x v="22"/>
    <x v="1"/>
    <x v="0"/>
    <n v="65"/>
    <x v="1"/>
    <n v="12"/>
    <n v="6.8824781708391996E-3"/>
    <n v="780"/>
    <n v="775"/>
    <n v="-5"/>
  </r>
  <r>
    <s v="PBOR00154"/>
    <s v="PIZB0003"/>
    <x v="23"/>
    <x v="2"/>
    <x v="1"/>
    <n v="250"/>
    <x v="2"/>
    <n v="1"/>
    <n v="0.85534007472556395"/>
    <n v="250"/>
    <n v="36"/>
    <n v="-214"/>
  </r>
  <r>
    <s v="PBOR00155"/>
    <s v="PIZB0004"/>
    <x v="24"/>
    <x v="3"/>
    <x v="0"/>
    <n v="130"/>
    <x v="0"/>
    <n v="6"/>
    <n v="0.62107648533214599"/>
    <n v="780"/>
    <n v="296"/>
    <n v="-484"/>
  </r>
  <r>
    <s v="PBOR00156"/>
    <s v="PIZB0001"/>
    <x v="16"/>
    <x v="0"/>
    <x v="1"/>
    <n v="72"/>
    <x v="1"/>
    <n v="3"/>
    <n v="0.93819201157518695"/>
    <n v="216"/>
    <n v="13"/>
    <n v="-203"/>
  </r>
  <r>
    <s v="PBOR00157"/>
    <s v="PIZB0002"/>
    <x v="25"/>
    <x v="1"/>
    <x v="0"/>
    <n v="65"/>
    <x v="2"/>
    <n v="12"/>
    <n v="0.97731506347213704"/>
    <n v="780"/>
    <n v="18"/>
    <n v="-762"/>
  </r>
  <r>
    <s v="PBOR00158"/>
    <s v="PIZB0003"/>
    <x v="6"/>
    <x v="2"/>
    <x v="1"/>
    <n v="250"/>
    <x v="0"/>
    <n v="3"/>
    <n v="0.93618769203099494"/>
    <n v="750"/>
    <n v="48"/>
    <n v="-702"/>
  </r>
  <r>
    <s v="PBOR00159"/>
    <s v="PIZB0004"/>
    <x v="2"/>
    <x v="3"/>
    <x v="0"/>
    <n v="130"/>
    <x v="1"/>
    <n v="5"/>
    <n v="0.92747059451906599"/>
    <n v="650"/>
    <n v="47"/>
    <n v="-603"/>
  </r>
  <r>
    <s v="PBOR00160"/>
    <s v="PIZB0005"/>
    <x v="26"/>
    <x v="4"/>
    <x v="0"/>
    <n v="60"/>
    <x v="2"/>
    <n v="8"/>
    <n v="9.83311046481503E-2"/>
    <n v="480"/>
    <n v="433"/>
    <n v="-47"/>
  </r>
  <r>
    <s v="PBOR00161"/>
    <s v="PIZB0006"/>
    <x v="4"/>
    <x v="5"/>
    <x v="1"/>
    <n v="95"/>
    <x v="0"/>
    <n v="5"/>
    <n v="4.5012478047171704E-3"/>
    <n v="475"/>
    <n v="473"/>
    <n v="-2"/>
  </r>
  <r>
    <s v="PBOR00162"/>
    <s v="PIZB0001"/>
    <x v="27"/>
    <x v="0"/>
    <x v="1"/>
    <n v="72"/>
    <x v="1"/>
    <n v="9"/>
    <n v="0.22169192366246801"/>
    <n v="648"/>
    <n v="504"/>
    <n v="-144"/>
  </r>
  <r>
    <s v="PBOR00163"/>
    <s v="PIZB0002"/>
    <x v="15"/>
    <x v="1"/>
    <x v="1"/>
    <n v="65"/>
    <x v="2"/>
    <n v="6"/>
    <n v="0.91624709117858605"/>
    <n v="390"/>
    <n v="33"/>
    <n v="-357"/>
  </r>
  <r>
    <s v="PBOR00164"/>
    <s v="PIZB0003"/>
    <x v="28"/>
    <x v="2"/>
    <x v="0"/>
    <n v="250"/>
    <x v="0"/>
    <n v="3"/>
    <n v="0.61362516317019999"/>
    <n v="750"/>
    <n v="290"/>
    <n v="-460"/>
  </r>
  <r>
    <s v="PBOR00165"/>
    <s v="PIZB0004"/>
    <x v="8"/>
    <x v="3"/>
    <x v="0"/>
    <n v="130"/>
    <x v="1"/>
    <n v="4"/>
    <n v="0.81572623665656496"/>
    <n v="520"/>
    <n v="96"/>
    <n v="-424"/>
  </r>
  <r>
    <s v="PBOR00166"/>
    <s v="PIZB0001"/>
    <x v="6"/>
    <x v="0"/>
    <x v="0"/>
    <n v="72"/>
    <x v="2"/>
    <n v="11"/>
    <n v="0.603947723087495"/>
    <n v="792"/>
    <n v="314"/>
    <n v="-478"/>
  </r>
  <r>
    <s v="PBOR00167"/>
    <s v="PIZB0002"/>
    <x v="27"/>
    <x v="1"/>
    <x v="0"/>
    <n v="65"/>
    <x v="0"/>
    <n v="7"/>
    <n v="0.27166765426644002"/>
    <n v="455"/>
    <n v="331"/>
    <n v="-124"/>
  </r>
  <r>
    <s v="PBOR00168"/>
    <s v="PIZB0003"/>
    <x v="10"/>
    <x v="2"/>
    <x v="0"/>
    <n v="250"/>
    <x v="1"/>
    <n v="2"/>
    <n v="0.56293228162406495"/>
    <n v="500"/>
    <n v="219"/>
    <n v="-281"/>
  </r>
  <r>
    <s v="PBOR00169"/>
    <s v="PIZB0004"/>
    <x v="29"/>
    <x v="3"/>
    <x v="0"/>
    <n v="130"/>
    <x v="2"/>
    <n v="4"/>
    <n v="0.73579140219525896"/>
    <n v="520"/>
    <n v="137"/>
    <n v="-383"/>
  </r>
  <r>
    <s v="PBOR00170"/>
    <s v="PIZB0005"/>
    <x v="30"/>
    <x v="4"/>
    <x v="0"/>
    <n v="60"/>
    <x v="0"/>
    <n v="12"/>
    <n v="0.44112931781121201"/>
    <n v="720"/>
    <n v="402"/>
    <n v="-318"/>
  </r>
  <r>
    <s v="PBOR00171"/>
    <s v="PIZB0001"/>
    <x v="31"/>
    <x v="0"/>
    <x v="0"/>
    <n v="72"/>
    <x v="1"/>
    <n v="11"/>
    <n v="0.67026763876764905"/>
    <n v="792"/>
    <n v="261"/>
    <n v="-531"/>
  </r>
  <r>
    <s v="PBOR00172"/>
    <s v="PIZB0002"/>
    <x v="27"/>
    <x v="1"/>
    <x v="0"/>
    <n v="65"/>
    <x v="2"/>
    <n v="9"/>
    <n v="0.215018428148193"/>
    <n v="585"/>
    <n v="459"/>
    <n v="-126"/>
  </r>
  <r>
    <s v="PBOR00173"/>
    <s v="PIZB0003"/>
    <x v="29"/>
    <x v="2"/>
    <x v="1"/>
    <n v="250"/>
    <x v="0"/>
    <n v="3"/>
    <n v="0.77528388030776896"/>
    <n v="750"/>
    <n v="169"/>
    <n v="-581"/>
  </r>
  <r>
    <s v="PBOR00174"/>
    <s v="PIZB0004"/>
    <x v="1"/>
    <x v="3"/>
    <x v="0"/>
    <n v="130"/>
    <x v="1"/>
    <n v="3"/>
    <n v="0.32334348690445702"/>
    <n v="390"/>
    <n v="264"/>
    <n v="-126"/>
  </r>
  <r>
    <s v="PBOR00175"/>
    <s v="PIZB0001"/>
    <x v="11"/>
    <x v="0"/>
    <x v="0"/>
    <n v="72"/>
    <x v="2"/>
    <n v="5"/>
    <n v="0.21172763919714899"/>
    <n v="360"/>
    <n v="284"/>
    <n v="-76"/>
  </r>
  <r>
    <s v="PBOR00176"/>
    <s v="PIZB0002"/>
    <x v="5"/>
    <x v="1"/>
    <x v="0"/>
    <n v="65"/>
    <x v="0"/>
    <n v="10"/>
    <n v="0.99817658128489695"/>
    <n v="650"/>
    <n v="1"/>
    <n v="-649"/>
  </r>
  <r>
    <s v="PBOR00177"/>
    <s v="PIZB0003"/>
    <x v="2"/>
    <x v="2"/>
    <x v="0"/>
    <n v="250"/>
    <x v="1"/>
    <n v="3"/>
    <n v="0.34321661485625199"/>
    <n v="750"/>
    <n v="493"/>
    <n v="-257"/>
  </r>
  <r>
    <s v="PBOR00178"/>
    <s v="PIZB0004"/>
    <x v="31"/>
    <x v="3"/>
    <x v="0"/>
    <n v="130"/>
    <x v="2"/>
    <n v="6"/>
    <n v="0.176883635536531"/>
    <n v="780"/>
    <n v="642"/>
    <n v="-138"/>
  </r>
  <r>
    <s v="PBOR00179"/>
    <s v="PIZB0005"/>
    <x v="3"/>
    <x v="4"/>
    <x v="1"/>
    <n v="60"/>
    <x v="0"/>
    <n v="12"/>
    <n v="0.54853763527560695"/>
    <n v="720"/>
    <n v="325"/>
    <n v="-395"/>
  </r>
  <r>
    <s v="PBOR00180"/>
    <s v="PIZB0006"/>
    <x v="25"/>
    <x v="5"/>
    <x v="0"/>
    <n v="95"/>
    <x v="1"/>
    <n v="7"/>
    <n v="0.40612729229894901"/>
    <n v="665"/>
    <n v="395"/>
    <n v="-270"/>
  </r>
  <r>
    <s v="PBOR00181"/>
    <s v="PIZB0001"/>
    <x v="7"/>
    <x v="0"/>
    <x v="0"/>
    <n v="72"/>
    <x v="2"/>
    <n v="6"/>
    <n v="0.167803000896386"/>
    <n v="432"/>
    <n v="360"/>
    <n v="-72"/>
  </r>
  <r>
    <s v="PBOR00182"/>
    <s v="PIZB0002"/>
    <x v="25"/>
    <x v="1"/>
    <x v="0"/>
    <n v="65"/>
    <x v="0"/>
    <n v="10"/>
    <n v="0.91086777790941598"/>
    <n v="650"/>
    <n v="58"/>
    <n v="-592"/>
  </r>
  <r>
    <s v="PBOR00183"/>
    <s v="PIZB0003"/>
    <x v="32"/>
    <x v="2"/>
    <x v="1"/>
    <n v="250"/>
    <x v="1"/>
    <n v="3"/>
    <n v="0.27319854945368899"/>
    <n v="750"/>
    <n v="545"/>
    <n v="-205"/>
  </r>
  <r>
    <s v="PBOR00184"/>
    <s v="PIZB0004"/>
    <x v="33"/>
    <x v="3"/>
    <x v="1"/>
    <n v="130"/>
    <x v="2"/>
    <n v="4"/>
    <n v="0.81984662786178397"/>
    <n v="520"/>
    <n v="94"/>
    <n v="-426"/>
  </r>
  <r>
    <s v="PBOR00185"/>
    <s v="PIZB0001"/>
    <x v="33"/>
    <x v="0"/>
    <x v="1"/>
    <n v="72"/>
    <x v="0"/>
    <n v="7"/>
    <n v="0.899809340035437"/>
    <n v="504"/>
    <n v="50"/>
    <n v="-454"/>
  </r>
  <r>
    <s v="PBOR00186"/>
    <s v="PIZB0002"/>
    <x v="22"/>
    <x v="1"/>
    <x v="1"/>
    <n v="65"/>
    <x v="1"/>
    <n v="5"/>
    <n v="0.73522347452625703"/>
    <n v="325"/>
    <n v="86"/>
    <n v="-239"/>
  </r>
  <r>
    <s v="PBOR00187"/>
    <s v="PIZB0003"/>
    <x v="34"/>
    <x v="2"/>
    <x v="1"/>
    <n v="250"/>
    <x v="2"/>
    <n v="3"/>
    <n v="0.365792133389301"/>
    <n v="750"/>
    <n v="476"/>
    <n v="-274"/>
  </r>
  <r>
    <s v="PBOR00188"/>
    <s v="PIZB0004"/>
    <x v="7"/>
    <x v="3"/>
    <x v="1"/>
    <n v="130"/>
    <x v="0"/>
    <n v="2"/>
    <n v="0.79313642440033205"/>
    <n v="260"/>
    <n v="54"/>
    <n v="-206"/>
  </r>
  <r>
    <s v="PBOR00189"/>
    <s v="PIZB0001"/>
    <x v="3"/>
    <x v="0"/>
    <x v="0"/>
    <n v="72"/>
    <x v="0"/>
    <n v="4"/>
    <n v="8.04076649795646E-2"/>
    <n v="288"/>
    <n v="265"/>
    <n v="-23"/>
  </r>
  <r>
    <s v="PBOR00190"/>
    <s v="PIZB0002"/>
    <x v="31"/>
    <x v="1"/>
    <x v="1"/>
    <n v="65"/>
    <x v="1"/>
    <n v="12"/>
    <n v="0.38525936096781799"/>
    <n v="780"/>
    <n v="479"/>
    <n v="-301"/>
  </r>
  <r>
    <s v="PBOR00191"/>
    <s v="PIZB0003"/>
    <x v="4"/>
    <x v="2"/>
    <x v="0"/>
    <n v="250"/>
    <x v="2"/>
    <n v="1"/>
    <n v="0.45507177071325899"/>
    <n v="250"/>
    <n v="136"/>
    <n v="-114"/>
  </r>
  <r>
    <s v="PBOR00192"/>
    <s v="PIZB0004"/>
    <x v="34"/>
    <x v="3"/>
    <x v="1"/>
    <n v="130"/>
    <x v="0"/>
    <n v="4"/>
    <n v="0.93827031337312095"/>
    <n v="520"/>
    <n v="32"/>
    <n v="-488"/>
  </r>
  <r>
    <s v="PBOR00193"/>
    <s v="PIZB0001"/>
    <x v="13"/>
    <x v="0"/>
    <x v="0"/>
    <n v="72"/>
    <x v="1"/>
    <n v="7"/>
    <n v="0.14716035331194999"/>
    <n v="504"/>
    <n v="430"/>
    <n v="-74"/>
  </r>
  <r>
    <s v="PBOR00194"/>
    <s v="PIZB0002"/>
    <x v="35"/>
    <x v="1"/>
    <x v="1"/>
    <n v="65"/>
    <x v="2"/>
    <n v="12"/>
    <n v="0.101598670430136"/>
    <n v="780"/>
    <n v="701"/>
    <n v="-79"/>
  </r>
  <r>
    <s v="PBOR00195"/>
    <s v="PIZB0003"/>
    <x v="2"/>
    <x v="2"/>
    <x v="0"/>
    <n v="250"/>
    <x v="0"/>
    <n v="2"/>
    <n v="0.50060788399709499"/>
    <n v="500"/>
    <n v="250"/>
    <n v="-250"/>
  </r>
  <r>
    <s v="PBOR00196"/>
    <s v="PIZB0004"/>
    <x v="13"/>
    <x v="3"/>
    <x v="1"/>
    <n v="130"/>
    <x v="1"/>
    <n v="6"/>
    <n v="0.70539643021834597"/>
    <n v="780"/>
    <n v="230"/>
    <n v="-550"/>
  </r>
  <r>
    <s v="PBOR00197"/>
    <s v="PIZB0005"/>
    <x v="18"/>
    <x v="4"/>
    <x v="0"/>
    <n v="60"/>
    <x v="2"/>
    <n v="12"/>
    <n v="0.72481379032239401"/>
    <n v="720"/>
    <n v="198"/>
    <n v="-522"/>
  </r>
  <r>
    <s v="PBOR00198"/>
    <s v="PIZB0001"/>
    <x v="23"/>
    <x v="0"/>
    <x v="1"/>
    <n v="72"/>
    <x v="0"/>
    <n v="6"/>
    <n v="0.21833121955544499"/>
    <n v="432"/>
    <n v="338"/>
    <n v="-94"/>
  </r>
  <r>
    <s v="PBOR00199"/>
    <s v="PIZB0002"/>
    <x v="36"/>
    <x v="1"/>
    <x v="0"/>
    <n v="65"/>
    <x v="1"/>
    <n v="8"/>
    <n v="0.33253524453952898"/>
    <n v="520"/>
    <n v="347"/>
    <n v="-173"/>
  </r>
  <r>
    <s v="PBOR00200"/>
    <s v="PIZB0003"/>
    <x v="37"/>
    <x v="2"/>
    <x v="1"/>
    <n v="250"/>
    <x v="2"/>
    <n v="2"/>
    <n v="0.39793552100288998"/>
    <n v="500"/>
    <n v="301"/>
    <n v="-199"/>
  </r>
  <r>
    <s v="PBOR00201"/>
    <s v="PIZB0004"/>
    <x v="4"/>
    <x v="3"/>
    <x v="0"/>
    <n v="130"/>
    <x v="0"/>
    <n v="4"/>
    <n v="0.83519533088641296"/>
    <n v="520"/>
    <n v="86"/>
    <n v="-434"/>
  </r>
  <r>
    <s v="PBOR00202"/>
    <s v="PIZB0001"/>
    <x v="3"/>
    <x v="0"/>
    <x v="1"/>
    <n v="72"/>
    <x v="1"/>
    <n v="10"/>
    <n v="8.7312208799101808E-3"/>
    <n v="720"/>
    <n v="714"/>
    <n v="-6"/>
  </r>
  <r>
    <s v="PBOR00203"/>
    <s v="PIZB0002"/>
    <x v="35"/>
    <x v="1"/>
    <x v="0"/>
    <n v="65"/>
    <x v="2"/>
    <n v="12"/>
    <n v="0.95071636556912698"/>
    <n v="780"/>
    <n v="38"/>
    <n v="-742"/>
  </r>
  <r>
    <s v="PBOR00204"/>
    <s v="PIZB0003"/>
    <x v="11"/>
    <x v="2"/>
    <x v="1"/>
    <n v="250"/>
    <x v="0"/>
    <n v="4"/>
    <n v="6.51107708719392E-2"/>
    <n v="1000"/>
    <n v="935"/>
    <n v="-65"/>
  </r>
  <r>
    <s v="PBOR00205"/>
    <s v="PIZB0004"/>
    <x v="10"/>
    <x v="3"/>
    <x v="0"/>
    <n v="130"/>
    <x v="1"/>
    <n v="6"/>
    <n v="0.437720245132658"/>
    <n v="780"/>
    <n v="439"/>
    <n v="-341"/>
  </r>
  <r>
    <s v="PBOR00206"/>
    <s v="PIZB0005"/>
    <x v="1"/>
    <x v="4"/>
    <x v="0"/>
    <n v="60"/>
    <x v="2"/>
    <n v="7"/>
    <n v="0.41853663840169503"/>
    <n v="420"/>
    <n v="244"/>
    <n v="-176"/>
  </r>
  <r>
    <s v="PBOR00207"/>
    <s v="PIZB0006"/>
    <x v="17"/>
    <x v="5"/>
    <x v="1"/>
    <n v="95"/>
    <x v="0"/>
    <n v="7"/>
    <n v="0.38824165845812802"/>
    <n v="665"/>
    <n v="407"/>
    <n v="-258"/>
  </r>
  <r>
    <s v="PBOR00208"/>
    <s v="PIZB0001"/>
    <x v="17"/>
    <x v="0"/>
    <x v="1"/>
    <n v="72"/>
    <x v="1"/>
    <n v="3"/>
    <n v="0.75434060698733896"/>
    <n v="216"/>
    <n v="53"/>
    <n v="-163"/>
  </r>
  <r>
    <s v="PBOR00209"/>
    <s v="PIZB0002"/>
    <x v="37"/>
    <x v="1"/>
    <x v="1"/>
    <n v="65"/>
    <x v="2"/>
    <n v="12"/>
    <n v="0.61587381700020505"/>
    <n v="780"/>
    <n v="300"/>
    <n v="-480"/>
  </r>
  <r>
    <s v="PBOR00210"/>
    <s v="PIZB0003"/>
    <x v="4"/>
    <x v="2"/>
    <x v="0"/>
    <n v="250"/>
    <x v="0"/>
    <n v="2"/>
    <n v="0.80006888756762495"/>
    <n v="500"/>
    <n v="100"/>
    <n v="-400"/>
  </r>
  <r>
    <s v="PBOR00211"/>
    <s v="PIZB0004"/>
    <x v="2"/>
    <x v="3"/>
    <x v="0"/>
    <n v="130"/>
    <x v="1"/>
    <n v="5"/>
    <n v="0.68228949683615203"/>
    <n v="650"/>
    <n v="207"/>
    <n v="-443"/>
  </r>
  <r>
    <s v="PBOR00212"/>
    <s v="PIZB0001"/>
    <x v="12"/>
    <x v="0"/>
    <x v="0"/>
    <n v="72"/>
    <x v="2"/>
    <n v="10"/>
    <n v="1.6479509006877301E-2"/>
    <n v="720"/>
    <n v="708"/>
    <n v="-12"/>
  </r>
  <r>
    <s v="PBOR00213"/>
    <s v="PIZB0002"/>
    <x v="0"/>
    <x v="1"/>
    <x v="0"/>
    <n v="65"/>
    <x v="0"/>
    <n v="10"/>
    <n v="0.230781238931274"/>
    <n v="650"/>
    <n v="500"/>
    <n v="-150"/>
  </r>
  <r>
    <s v="PBOR00214"/>
    <s v="PIZB0003"/>
    <x v="38"/>
    <x v="2"/>
    <x v="0"/>
    <n v="250"/>
    <x v="1"/>
    <n v="3"/>
    <n v="2.2225272121484702E-2"/>
    <n v="750"/>
    <n v="733"/>
    <n v="-17"/>
  </r>
  <r>
    <s v="PBOR00215"/>
    <s v="PIZB0004"/>
    <x v="1"/>
    <x v="3"/>
    <x v="0"/>
    <n v="130"/>
    <x v="2"/>
    <n v="3"/>
    <n v="0.72206439626516805"/>
    <n v="390"/>
    <n v="108"/>
    <n v="-282"/>
  </r>
  <r>
    <s v="PBOR00216"/>
    <s v="PIZB0005"/>
    <x v="2"/>
    <x v="4"/>
    <x v="0"/>
    <n v="60"/>
    <x v="0"/>
    <n v="7"/>
    <n v="0.66067744665264705"/>
    <n v="420"/>
    <n v="143"/>
    <n v="-277"/>
  </r>
  <r>
    <s v="PBOR00217"/>
    <s v="PIZB0001"/>
    <x v="5"/>
    <x v="0"/>
    <x v="0"/>
    <n v="72"/>
    <x v="1"/>
    <n v="6"/>
    <n v="0.14048396352986101"/>
    <n v="432"/>
    <n v="371"/>
    <n v="-61"/>
  </r>
  <r>
    <s v="PBOR00218"/>
    <s v="PIZB0002"/>
    <x v="3"/>
    <x v="1"/>
    <x v="0"/>
    <n v="65"/>
    <x v="2"/>
    <n v="8"/>
    <n v="0.37872981249566801"/>
    <n v="520"/>
    <n v="323"/>
    <n v="-197"/>
  </r>
  <r>
    <s v="PBOR00219"/>
    <s v="PIZB0003"/>
    <x v="36"/>
    <x v="2"/>
    <x v="1"/>
    <n v="250"/>
    <x v="0"/>
    <n v="2"/>
    <n v="0.71515589694127502"/>
    <n v="500"/>
    <n v="142"/>
    <n v="-358"/>
  </r>
  <r>
    <s v="PBOR00220"/>
    <s v="PIZB0004"/>
    <x v="24"/>
    <x v="3"/>
    <x v="0"/>
    <n v="130"/>
    <x v="1"/>
    <n v="6"/>
    <n v="0.21412519358799301"/>
    <n v="780"/>
    <n v="613"/>
    <n v="-167"/>
  </r>
  <r>
    <s v="PBOR00221"/>
    <s v="PIZB0001"/>
    <x v="21"/>
    <x v="0"/>
    <x v="0"/>
    <n v="72"/>
    <x v="2"/>
    <n v="6"/>
    <n v="0.16455091596073201"/>
    <n v="432"/>
    <n v="361"/>
    <n v="-71"/>
  </r>
  <r>
    <s v="PBOR00222"/>
    <s v="PIZB0002"/>
    <x v="32"/>
    <x v="1"/>
    <x v="0"/>
    <n v="65"/>
    <x v="0"/>
    <n v="4"/>
    <n v="0.256669074916685"/>
    <n v="260"/>
    <n v="193"/>
    <n v="-67"/>
  </r>
  <r>
    <s v="PBOR00223"/>
    <s v="PIZB0003"/>
    <x v="4"/>
    <x v="2"/>
    <x v="0"/>
    <n v="250"/>
    <x v="1"/>
    <n v="3"/>
    <n v="0.90160231788426604"/>
    <n v="750"/>
    <n v="74"/>
    <n v="-676"/>
  </r>
  <r>
    <s v="PBOR00224"/>
    <s v="PIZB0004"/>
    <x v="2"/>
    <x v="3"/>
    <x v="0"/>
    <n v="130"/>
    <x v="2"/>
    <n v="2"/>
    <n v="0.320164833885899"/>
    <n v="260"/>
    <n v="177"/>
    <n v="-83"/>
  </r>
  <r>
    <s v="PBOR00225"/>
    <s v="PIZB0005"/>
    <x v="27"/>
    <x v="4"/>
    <x v="1"/>
    <n v="60"/>
    <x v="0"/>
    <n v="9"/>
    <n v="0.134984504877316"/>
    <n v="540"/>
    <n v="467"/>
    <n v="-73"/>
  </r>
  <r>
    <s v="PBOR00226"/>
    <s v="PIZB0006"/>
    <x v="0"/>
    <x v="5"/>
    <x v="0"/>
    <n v="95"/>
    <x v="1"/>
    <n v="5"/>
    <n v="0.91789593738279995"/>
    <n v="475"/>
    <n v="39"/>
    <n v="-436"/>
  </r>
  <r>
    <s v="PBOR00227"/>
    <s v="PIZB0001"/>
    <x v="1"/>
    <x v="0"/>
    <x v="0"/>
    <n v="72"/>
    <x v="2"/>
    <n v="3"/>
    <n v="0.98021726342122195"/>
    <n v="216"/>
    <n v="4"/>
    <n v="-212"/>
  </r>
  <r>
    <s v="PBOR00228"/>
    <s v="PIZB0002"/>
    <x v="28"/>
    <x v="1"/>
    <x v="0"/>
    <n v="65"/>
    <x v="0"/>
    <n v="7"/>
    <n v="6.7354248366483002E-2"/>
    <n v="455"/>
    <n v="424"/>
    <n v="-31"/>
  </r>
  <r>
    <s v="PBOR00229"/>
    <s v="PIZB0003"/>
    <x v="8"/>
    <x v="2"/>
    <x v="1"/>
    <n v="250"/>
    <x v="1"/>
    <n v="2"/>
    <n v="0.49907272133883401"/>
    <n v="500"/>
    <n v="250"/>
    <n v="-250"/>
  </r>
  <r>
    <s v="PBOR00230"/>
    <s v="PIZB0004"/>
    <x v="33"/>
    <x v="3"/>
    <x v="1"/>
    <n v="130"/>
    <x v="2"/>
    <n v="5"/>
    <n v="0.61466468459589796"/>
    <n v="650"/>
    <n v="250"/>
    <n v="-400"/>
  </r>
  <r>
    <s v="PBOR00231"/>
    <s v="PIZB0001"/>
    <x v="14"/>
    <x v="0"/>
    <x v="1"/>
    <n v="72"/>
    <x v="0"/>
    <n v="7"/>
    <n v="0.94639798804768605"/>
    <n v="504"/>
    <n v="27"/>
    <n v="-477"/>
  </r>
  <r>
    <s v="PBOR00232"/>
    <s v="PIZB0002"/>
    <x v="16"/>
    <x v="1"/>
    <x v="1"/>
    <n v="65"/>
    <x v="1"/>
    <n v="10"/>
    <n v="0.951686638384176"/>
    <n v="650"/>
    <n v="31"/>
    <n v="-619"/>
  </r>
  <r>
    <s v="PBOR00233"/>
    <s v="PIZB0003"/>
    <x v="17"/>
    <x v="2"/>
    <x v="1"/>
    <n v="250"/>
    <x v="2"/>
    <n v="2"/>
    <n v="0.55958868077394197"/>
    <n v="500"/>
    <n v="220"/>
    <n v="-280"/>
  </r>
  <r>
    <s v="PBOR00234"/>
    <s v="PIZB0004"/>
    <x v="17"/>
    <x v="3"/>
    <x v="1"/>
    <n v="130"/>
    <x v="0"/>
    <n v="2"/>
    <n v="0.810039366771655"/>
    <n v="260"/>
    <n v="49"/>
    <n v="-211"/>
  </r>
  <r>
    <s v="PBOR00235"/>
    <s v="PIZB0001"/>
    <x v="5"/>
    <x v="0"/>
    <x v="1"/>
    <n v="72"/>
    <x v="0"/>
    <n v="12"/>
    <n v="0.35450072343254202"/>
    <n v="864"/>
    <n v="558"/>
    <n v="-306"/>
  </r>
  <r>
    <s v="PBOR00236"/>
    <s v="PIZB0002"/>
    <x v="16"/>
    <x v="1"/>
    <x v="0"/>
    <n v="65"/>
    <x v="1"/>
    <n v="11"/>
    <n v="0.34895469608332802"/>
    <n v="715"/>
    <n v="465"/>
    <n v="-250"/>
  </r>
  <r>
    <s v="PBOR00237"/>
    <s v="PIZB0003"/>
    <x v="1"/>
    <x v="2"/>
    <x v="0"/>
    <n v="250"/>
    <x v="2"/>
    <n v="2"/>
    <n v="0.52279578451533204"/>
    <n v="500"/>
    <n v="239"/>
    <n v="-261"/>
  </r>
  <r>
    <s v="PBOR00238"/>
    <s v="PIZB0004"/>
    <x v="18"/>
    <x v="3"/>
    <x v="0"/>
    <n v="130"/>
    <x v="0"/>
    <n v="3"/>
    <n v="0.69617887937852896"/>
    <n v="390"/>
    <n v="118"/>
    <n v="-272"/>
  </r>
  <r>
    <s v="PBOR00239"/>
    <s v="PIZB0001"/>
    <x v="3"/>
    <x v="0"/>
    <x v="1"/>
    <n v="72"/>
    <x v="1"/>
    <n v="6"/>
    <n v="0.55638354082081698"/>
    <n v="432"/>
    <n v="192"/>
    <n v="-240"/>
  </r>
  <r>
    <s v="PBOR00240"/>
    <s v="PIZB0002"/>
    <x v="19"/>
    <x v="1"/>
    <x v="1"/>
    <n v="65"/>
    <x v="2"/>
    <n v="8"/>
    <n v="7.8132692098414003E-2"/>
    <n v="520"/>
    <n v="479"/>
    <n v="-41"/>
  </r>
  <r>
    <s v="PBOR00241"/>
    <s v="PIZB0003"/>
    <x v="20"/>
    <x v="2"/>
    <x v="1"/>
    <n v="250"/>
    <x v="0"/>
    <n v="1"/>
    <n v="0.37783112687678599"/>
    <n v="250"/>
    <n v="156"/>
    <n v="-94"/>
  </r>
  <r>
    <s v="PBOR00242"/>
    <s v="PIZB0004"/>
    <x v="21"/>
    <x v="3"/>
    <x v="1"/>
    <n v="130"/>
    <x v="1"/>
    <n v="7"/>
    <n v="0.34200944354303298"/>
    <n v="910"/>
    <n v="599"/>
    <n v="-311"/>
  </r>
  <r>
    <s v="PBOR00243"/>
    <s v="PIZB0005"/>
    <x v="22"/>
    <x v="4"/>
    <x v="1"/>
    <n v="60"/>
    <x v="2"/>
    <n v="11"/>
    <n v="0.92737976442865899"/>
    <n v="660"/>
    <n v="48"/>
    <n v="-612"/>
  </r>
  <r>
    <s v="PBOR00244"/>
    <s v="PIZB0001"/>
    <x v="23"/>
    <x v="0"/>
    <x v="1"/>
    <n v="72"/>
    <x v="0"/>
    <n v="6"/>
    <n v="0.96938667185148797"/>
    <n v="432"/>
    <n v="13"/>
    <n v="-419"/>
  </r>
  <r>
    <s v="PBOR00245"/>
    <s v="PIZB0002"/>
    <x v="24"/>
    <x v="1"/>
    <x v="1"/>
    <n v="65"/>
    <x v="1"/>
    <n v="6"/>
    <n v="0.244063078270044"/>
    <n v="390"/>
    <n v="295"/>
    <n v="-95"/>
  </r>
  <r>
    <s v="PBOR00246"/>
    <s v="PIZB0003"/>
    <x v="16"/>
    <x v="2"/>
    <x v="0"/>
    <n v="250"/>
    <x v="2"/>
    <n v="2"/>
    <n v="0.931057824254786"/>
    <n v="500"/>
    <n v="34"/>
    <n v="-466"/>
  </r>
  <r>
    <s v="PBOR00247"/>
    <s v="PIZB0004"/>
    <x v="25"/>
    <x v="3"/>
    <x v="0"/>
    <n v="130"/>
    <x v="0"/>
    <n v="4"/>
    <n v="0.67570229189541997"/>
    <n v="520"/>
    <n v="169"/>
    <n v="-351"/>
  </r>
  <r>
    <s v="PBOR00248"/>
    <s v="PIZB0001"/>
    <x v="6"/>
    <x v="0"/>
    <x v="0"/>
    <n v="72"/>
    <x v="1"/>
    <n v="7"/>
    <n v="0.91192982577548198"/>
    <n v="504"/>
    <n v="44"/>
    <n v="-460"/>
  </r>
  <r>
    <s v="PBOR00249"/>
    <s v="PIZB0002"/>
    <x v="2"/>
    <x v="1"/>
    <x v="1"/>
    <n v="65"/>
    <x v="2"/>
    <n v="13"/>
    <n v="0.46313611506175101"/>
    <n v="845"/>
    <n v="454"/>
    <n v="-391"/>
  </r>
  <r>
    <s v="PBOR00250"/>
    <s v="PIZB0003"/>
    <x v="26"/>
    <x v="2"/>
    <x v="1"/>
    <n v="250"/>
    <x v="0"/>
    <n v="1"/>
    <n v="5.3530222562513601E-2"/>
    <n v="250"/>
    <n v="237"/>
    <n v="-13"/>
  </r>
  <r>
    <s v="PBOR00251"/>
    <s v="PIZB0004"/>
    <x v="4"/>
    <x v="3"/>
    <x v="1"/>
    <n v="130"/>
    <x v="1"/>
    <n v="2"/>
    <n v="0.101354148565082"/>
    <n v="260"/>
    <n v="234"/>
    <n v="-26"/>
  </r>
  <r>
    <s v="PBOR00252"/>
    <s v="PIZB0005"/>
    <x v="27"/>
    <x v="4"/>
    <x v="1"/>
    <n v="60"/>
    <x v="2"/>
    <n v="10"/>
    <n v="0.15413196820236599"/>
    <n v="600"/>
    <n v="508"/>
    <n v="-92"/>
  </r>
  <r>
    <s v="PBOR00253"/>
    <s v="PIZB0006"/>
    <x v="15"/>
    <x v="5"/>
    <x v="1"/>
    <n v="95"/>
    <x v="0"/>
    <n v="4"/>
    <n v="0.99147229272651105"/>
    <n v="380"/>
    <n v="3"/>
    <n v="-377"/>
  </r>
  <r>
    <s v="PBOR00254"/>
    <s v="PIZB0001"/>
    <x v="28"/>
    <x v="0"/>
    <x v="1"/>
    <n v="72"/>
    <x v="1"/>
    <n v="4"/>
    <n v="0.267925418382296"/>
    <n v="288"/>
    <n v="211"/>
    <n v="-77"/>
  </r>
  <r>
    <s v="PBOR00255"/>
    <s v="PIZB0002"/>
    <x v="8"/>
    <x v="1"/>
    <x v="1"/>
    <n v="65"/>
    <x v="2"/>
    <n v="7"/>
    <n v="0.67400237007588704"/>
    <n v="455"/>
    <n v="148"/>
    <n v="-307"/>
  </r>
  <r>
    <s v="PBOR00256"/>
    <s v="PIZB0003"/>
    <x v="6"/>
    <x v="2"/>
    <x v="0"/>
    <n v="250"/>
    <x v="0"/>
    <n v="2"/>
    <n v="0.107790125674155"/>
    <n v="500"/>
    <n v="446"/>
    <n v="-54"/>
  </r>
  <r>
    <s v="PBOR00257"/>
    <s v="PIZB0004"/>
    <x v="27"/>
    <x v="3"/>
    <x v="0"/>
    <n v="130"/>
    <x v="1"/>
    <n v="4"/>
    <n v="6.5825812137459E-2"/>
    <n v="520"/>
    <n v="486"/>
    <n v="-34"/>
  </r>
  <r>
    <s v="PBOR00258"/>
    <s v="PIZB0001"/>
    <x v="10"/>
    <x v="0"/>
    <x v="0"/>
    <n v="72"/>
    <x v="2"/>
    <n v="11"/>
    <n v="0.36167362480508097"/>
    <n v="792"/>
    <n v="506"/>
    <n v="-286"/>
  </r>
  <r>
    <s v="PBOR00259"/>
    <s v="PIZB0002"/>
    <x v="29"/>
    <x v="1"/>
    <x v="1"/>
    <n v="65"/>
    <x v="0"/>
    <n v="9"/>
    <n v="0.15611277710708599"/>
    <n v="585"/>
    <n v="494"/>
    <n v="-91"/>
  </r>
  <r>
    <s v="PBOR00260"/>
    <s v="PIZB0003"/>
    <x v="30"/>
    <x v="2"/>
    <x v="1"/>
    <n v="250"/>
    <x v="1"/>
    <n v="2"/>
    <n v="0.118929629479385"/>
    <n v="500"/>
    <n v="441"/>
    <n v="-59"/>
  </r>
  <r>
    <s v="PBOR00261"/>
    <s v="PIZB0004"/>
    <x v="31"/>
    <x v="3"/>
    <x v="1"/>
    <n v="130"/>
    <x v="2"/>
    <n v="5"/>
    <n v="0.94178498482348305"/>
    <n v="650"/>
    <n v="38"/>
    <n v="-612"/>
  </r>
  <r>
    <s v="PBOR00262"/>
    <s v="PIZB0005"/>
    <x v="27"/>
    <x v="4"/>
    <x v="1"/>
    <n v="60"/>
    <x v="0"/>
    <n v="5"/>
    <n v="0.82224390590218999"/>
    <n v="300"/>
    <n v="53"/>
    <n v="-247"/>
  </r>
  <r>
    <s v="PBOR00263"/>
    <s v="PIZB0001"/>
    <x v="29"/>
    <x v="0"/>
    <x v="1"/>
    <n v="72"/>
    <x v="1"/>
    <n v="10"/>
    <n v="1.5473035826796201E-2"/>
    <n v="720"/>
    <n v="709"/>
    <n v="-11"/>
  </r>
  <r>
    <s v="PBOR00264"/>
    <s v="PIZB0002"/>
    <x v="1"/>
    <x v="1"/>
    <x v="1"/>
    <n v="65"/>
    <x v="2"/>
    <n v="3"/>
    <n v="0.57002189482885501"/>
    <n v="195"/>
    <n v="84"/>
    <n v="-111"/>
  </r>
  <r>
    <s v="PBOR00265"/>
    <s v="PIZB0003"/>
    <x v="11"/>
    <x v="2"/>
    <x v="0"/>
    <n v="250"/>
    <x v="0"/>
    <n v="3"/>
    <n v="0.22169123462523499"/>
    <n v="750"/>
    <n v="584"/>
    <n v="-166"/>
  </r>
  <r>
    <s v="PBOR00266"/>
    <s v="PIZB0004"/>
    <x v="5"/>
    <x v="3"/>
    <x v="1"/>
    <n v="130"/>
    <x v="1"/>
    <n v="6"/>
    <n v="0.16327712663351299"/>
    <n v="780"/>
    <n v="653"/>
    <n v="-127"/>
  </r>
  <r>
    <s v="PBOR00267"/>
    <s v="PIZB0001"/>
    <x v="2"/>
    <x v="0"/>
    <x v="0"/>
    <n v="72"/>
    <x v="2"/>
    <n v="9"/>
    <n v="0.71431849239690404"/>
    <n v="648"/>
    <n v="185"/>
    <n v="-463"/>
  </r>
  <r>
    <s v="PBOR00268"/>
    <s v="PIZB0002"/>
    <x v="31"/>
    <x v="1"/>
    <x v="1"/>
    <n v="65"/>
    <x v="0"/>
    <n v="7"/>
    <n v="0.58151491016386703"/>
    <n v="455"/>
    <n v="190"/>
    <n v="-265"/>
  </r>
  <r>
    <s v="PBOR00269"/>
    <s v="PIZB0003"/>
    <x v="3"/>
    <x v="2"/>
    <x v="0"/>
    <n v="250"/>
    <x v="1"/>
    <n v="1"/>
    <n v="0.94025500085845504"/>
    <n v="250"/>
    <n v="15"/>
    <n v="-235"/>
  </r>
  <r>
    <s v="PBOR00270"/>
    <s v="PIZB0004"/>
    <x v="25"/>
    <x v="3"/>
    <x v="1"/>
    <n v="130"/>
    <x v="2"/>
    <n v="3"/>
    <n v="0.856960077333762"/>
    <n v="390"/>
    <n v="56"/>
    <n v="-334"/>
  </r>
  <r>
    <s v="PBOR00271"/>
    <s v="PIZB0005"/>
    <x v="7"/>
    <x v="4"/>
    <x v="0"/>
    <n v="60"/>
    <x v="0"/>
    <n v="6"/>
    <n v="0.73704670632037705"/>
    <n v="360"/>
    <n v="95"/>
    <n v="-265"/>
  </r>
  <r>
    <s v="PBOR00272"/>
    <s v="PIZB0006"/>
    <x v="25"/>
    <x v="5"/>
    <x v="1"/>
    <n v="95"/>
    <x v="1"/>
    <n v="5"/>
    <n v="0.995566745643514"/>
    <n v="475"/>
    <n v="2"/>
    <n v="-473"/>
  </r>
  <r>
    <s v="PBOR00273"/>
    <s v="PIZB0001"/>
    <x v="32"/>
    <x v="0"/>
    <x v="0"/>
    <n v="72"/>
    <x v="2"/>
    <n v="8"/>
    <n v="0.82336237784945998"/>
    <n v="576"/>
    <n v="102"/>
    <n v="-474"/>
  </r>
  <r>
    <s v="PBOR00274"/>
    <s v="PIZB0002"/>
    <x v="33"/>
    <x v="1"/>
    <x v="1"/>
    <n v="65"/>
    <x v="0"/>
    <n v="13"/>
    <n v="0.21429857063805499"/>
    <n v="845"/>
    <n v="664"/>
    <n v="-181"/>
  </r>
  <r>
    <s v="PBOR00275"/>
    <s v="PIZB0003"/>
    <x v="33"/>
    <x v="2"/>
    <x v="0"/>
    <n v="250"/>
    <x v="1"/>
    <n v="2"/>
    <n v="0.98582463687112398"/>
    <n v="500"/>
    <n v="7"/>
    <n v="-493"/>
  </r>
  <r>
    <s v="PBOR00276"/>
    <s v="PIZB0004"/>
    <x v="22"/>
    <x v="3"/>
    <x v="1"/>
    <n v="130"/>
    <x v="2"/>
    <n v="6"/>
    <n v="2.0787857004193899E-2"/>
    <n v="780"/>
    <n v="764"/>
    <n v="-16"/>
  </r>
  <r>
    <s v="PBOR00277"/>
    <s v="PIZB0001"/>
    <x v="34"/>
    <x v="0"/>
    <x v="0"/>
    <n v="72"/>
    <x v="0"/>
    <n v="8"/>
    <n v="0.40430415511068202"/>
    <n v="576"/>
    <n v="343"/>
    <n v="-233"/>
  </r>
  <r>
    <s v="PBOR00278"/>
    <s v="PIZB0002"/>
    <x v="7"/>
    <x v="1"/>
    <x v="1"/>
    <n v="65"/>
    <x v="1"/>
    <n v="6"/>
    <n v="0.862289362163704"/>
    <n v="390"/>
    <n v="54"/>
    <n v="-336"/>
  </r>
  <r>
    <s v="PBOR00279"/>
    <s v="PIZB0003"/>
    <x v="3"/>
    <x v="2"/>
    <x v="0"/>
    <n v="250"/>
    <x v="2"/>
    <n v="3"/>
    <n v="0.202672002623937"/>
    <n v="750"/>
    <n v="598"/>
    <n v="-152"/>
  </r>
  <r>
    <s v="PBOR00280"/>
    <s v="PIZB0004"/>
    <x v="31"/>
    <x v="0"/>
    <x v="1"/>
    <n v="72"/>
    <x v="0"/>
    <n v="6"/>
    <n v="0.42721330596563001"/>
    <n v="432"/>
    <n v="247"/>
    <n v="-185"/>
  </r>
  <r>
    <s v="PBOR00281"/>
    <s v="PIZB0001"/>
    <x v="4"/>
    <x v="1"/>
    <x v="0"/>
    <n v="65"/>
    <x v="0"/>
    <n v="13"/>
    <n v="0.87108149970897397"/>
    <n v="845"/>
    <n v="109"/>
    <n v="-736"/>
  </r>
  <r>
    <s v="PBOR00282"/>
    <s v="PIZB0002"/>
    <x v="34"/>
    <x v="2"/>
    <x v="1"/>
    <n v="250"/>
    <x v="1"/>
    <n v="1"/>
    <n v="2.6358009716956701E-2"/>
    <n v="250"/>
    <n v="243"/>
    <n v="-7"/>
  </r>
  <r>
    <s v="PBOR00283"/>
    <s v="PIZB0003"/>
    <x v="13"/>
    <x v="3"/>
    <x v="1"/>
    <n v="130"/>
    <x v="2"/>
    <n v="3"/>
    <n v="0.77767785740350603"/>
    <n v="390"/>
    <n v="87"/>
    <n v="-303"/>
  </r>
  <r>
    <s v="PBOR00284"/>
    <s v="PIZB0004"/>
    <x v="35"/>
    <x v="0"/>
    <x v="1"/>
    <n v="72"/>
    <x v="0"/>
    <n v="3"/>
    <n v="0.68682565144107499"/>
    <n v="216"/>
    <n v="68"/>
    <n v="-148"/>
  </r>
  <r>
    <s v="PBOR00285"/>
    <s v="PIZB0001"/>
    <x v="2"/>
    <x v="1"/>
    <x v="1"/>
    <n v="65"/>
    <x v="1"/>
    <n v="14"/>
    <n v="0.58269109940879105"/>
    <n v="910"/>
    <n v="380"/>
    <n v="-530"/>
  </r>
  <r>
    <s v="PBOR00286"/>
    <s v="PIZB0002"/>
    <x v="13"/>
    <x v="2"/>
    <x v="1"/>
    <n v="250"/>
    <x v="2"/>
    <n v="3"/>
    <n v="0.44339908275720802"/>
    <n v="750"/>
    <n v="417"/>
    <n v="-333"/>
  </r>
  <r>
    <s v="PBOR00287"/>
    <s v="PIZB0003"/>
    <x v="18"/>
    <x v="3"/>
    <x v="0"/>
    <n v="130"/>
    <x v="0"/>
    <n v="3"/>
    <n v="0.125750368103208"/>
    <n v="390"/>
    <n v="341"/>
    <n v="-49"/>
  </r>
  <r>
    <s v="PBOR00288"/>
    <s v="PIZB0004"/>
    <x v="23"/>
    <x v="4"/>
    <x v="1"/>
    <n v="60"/>
    <x v="1"/>
    <n v="13"/>
    <n v="0.58443763111426095"/>
    <n v="780"/>
    <n v="324"/>
    <n v="-456"/>
  </r>
  <r>
    <s v="PBOR00289"/>
    <s v="PIZB0005"/>
    <x v="36"/>
    <x v="0"/>
    <x v="0"/>
    <n v="72"/>
    <x v="2"/>
    <n v="11"/>
    <n v="0.202698384273822"/>
    <n v="792"/>
    <n v="631"/>
    <n v="-161"/>
  </r>
  <r>
    <s v="PBOR00290"/>
    <s v="PIZB0001"/>
    <x v="37"/>
    <x v="1"/>
    <x v="1"/>
    <n v="65"/>
    <x v="0"/>
    <n v="5"/>
    <n v="0.34588473967990302"/>
    <n v="325"/>
    <n v="213"/>
    <n v="-112"/>
  </r>
  <r>
    <s v="PBOR00291"/>
    <s v="PIZB0002"/>
    <x v="4"/>
    <x v="2"/>
    <x v="0"/>
    <n v="250"/>
    <x v="1"/>
    <n v="3"/>
    <n v="0.44863071332489002"/>
    <n v="750"/>
    <n v="414"/>
    <n v="-336"/>
  </r>
  <r>
    <s v="PBOR00292"/>
    <s v="PIZB0003"/>
    <x v="3"/>
    <x v="3"/>
    <x v="1"/>
    <n v="130"/>
    <x v="2"/>
    <n v="2"/>
    <n v="0.41195662281860601"/>
    <n v="260"/>
    <n v="153"/>
    <n v="-107"/>
  </r>
  <r>
    <s v="PBOR00293"/>
    <s v="PIZB0004"/>
    <x v="35"/>
    <x v="0"/>
    <x v="0"/>
    <n v="72"/>
    <x v="0"/>
    <n v="10"/>
    <n v="0.78611978286567896"/>
    <n v="720"/>
    <n v="154"/>
    <n v="-566"/>
  </r>
  <r>
    <s v="PBOR00294"/>
    <s v="PIZB0001"/>
    <x v="11"/>
    <x v="1"/>
    <x v="1"/>
    <n v="65"/>
    <x v="1"/>
    <n v="12"/>
    <n v="0.82093526112515203"/>
    <n v="780"/>
    <n v="140"/>
    <n v="-640"/>
  </r>
  <r>
    <s v="PBOR00295"/>
    <s v="PIZB0002"/>
    <x v="10"/>
    <x v="2"/>
    <x v="0"/>
    <n v="250"/>
    <x v="2"/>
    <n v="3"/>
    <n v="0.56550558496143599"/>
    <n v="750"/>
    <n v="326"/>
    <n v="-424"/>
  </r>
  <r>
    <s v="PBOR00296"/>
    <s v="PIZB0003"/>
    <x v="1"/>
    <x v="3"/>
    <x v="1"/>
    <n v="130"/>
    <x v="0"/>
    <n v="4"/>
    <n v="0.48001599413027601"/>
    <n v="520"/>
    <n v="270"/>
    <n v="-250"/>
  </r>
  <r>
    <s v="PBOR00297"/>
    <s v="PIZB0004"/>
    <x v="17"/>
    <x v="4"/>
    <x v="0"/>
    <n v="60"/>
    <x v="1"/>
    <n v="9"/>
    <n v="0.80703544305681496"/>
    <n v="540"/>
    <n v="104"/>
    <n v="-436"/>
  </r>
  <r>
    <s v="PBOR00298"/>
    <s v="PIZB0005"/>
    <x v="17"/>
    <x v="5"/>
    <x v="1"/>
    <n v="95"/>
    <x v="2"/>
    <n v="6"/>
    <n v="0.13472953271651"/>
    <n v="570"/>
    <n v="493"/>
    <n v="-77"/>
  </r>
  <r>
    <s v="PBOR00299"/>
    <s v="PIZB0006"/>
    <x v="37"/>
    <x v="0"/>
    <x v="0"/>
    <n v="72"/>
    <x v="0"/>
    <n v="9"/>
    <n v="0.53735244514022196"/>
    <n v="648"/>
    <n v="300"/>
    <n v="-348"/>
  </r>
  <r>
    <s v="PBOR00300"/>
    <s v="PIZB0001"/>
    <x v="4"/>
    <x v="1"/>
    <x v="1"/>
    <n v="65"/>
    <x v="1"/>
    <n v="10"/>
    <n v="0.86493253723020302"/>
    <n v="650"/>
    <n v="88"/>
    <n v="-562"/>
  </r>
  <r>
    <s v="PBOR00301"/>
    <s v="PIZB0002"/>
    <x v="2"/>
    <x v="2"/>
    <x v="0"/>
    <n v="250"/>
    <x v="2"/>
    <n v="2"/>
    <n v="0.14635193252367401"/>
    <n v="500"/>
    <n v="427"/>
    <n v="-73"/>
  </r>
  <r>
    <s v="PBOR00302"/>
    <s v="PIZB0003"/>
    <x v="12"/>
    <x v="3"/>
    <x v="1"/>
    <n v="130"/>
    <x v="0"/>
    <n v="5"/>
    <n v="0.49930216593502402"/>
    <n v="650"/>
    <n v="325"/>
    <n v="-325"/>
  </r>
  <r>
    <s v="PBOR00303"/>
    <s v="PIZB0004"/>
    <x v="0"/>
    <x v="0"/>
    <x v="0"/>
    <n v="72"/>
    <x v="1"/>
    <n v="4"/>
    <n v="0.16760369217058799"/>
    <n v="288"/>
    <n v="240"/>
    <n v="-48"/>
  </r>
  <r>
    <s v="PBOR00304"/>
    <s v="PIZB0001"/>
    <x v="38"/>
    <x v="1"/>
    <x v="1"/>
    <n v="65"/>
    <x v="2"/>
    <n v="13"/>
    <n v="0.57040391639924304"/>
    <n v="845"/>
    <n v="363"/>
    <n v="-482"/>
  </r>
  <r>
    <s v="PBOR00305"/>
    <s v="PIZB0002"/>
    <x v="1"/>
    <x v="2"/>
    <x v="1"/>
    <n v="250"/>
    <x v="0"/>
    <n v="2"/>
    <n v="0.35240472893682601"/>
    <n v="500"/>
    <n v="324"/>
    <n v="-176"/>
  </r>
  <r>
    <s v="PBOR00306"/>
    <s v="PIZB0003"/>
    <x v="2"/>
    <x v="3"/>
    <x v="1"/>
    <n v="130"/>
    <x v="1"/>
    <n v="3"/>
    <n v="0.112080921562423"/>
    <n v="390"/>
    <n v="346"/>
    <n v="-44"/>
  </r>
  <r>
    <s v="PBOR00307"/>
    <s v="PIZB0004"/>
    <x v="5"/>
    <x v="4"/>
    <x v="1"/>
    <n v="60"/>
    <x v="2"/>
    <n v="10"/>
    <n v="0.57839134647100099"/>
    <n v="600"/>
    <n v="253"/>
    <n v="-347"/>
  </r>
  <r>
    <s v="PBOR00308"/>
    <s v="PIZB0005"/>
    <x v="3"/>
    <x v="0"/>
    <x v="1"/>
    <n v="72"/>
    <x v="0"/>
    <n v="9"/>
    <n v="0.18785567306752601"/>
    <n v="648"/>
    <n v="526"/>
    <n v="-122"/>
  </r>
  <r>
    <s v="PBOR00309"/>
    <s v="PIZB0001"/>
    <x v="36"/>
    <x v="1"/>
    <x v="0"/>
    <n v="65"/>
    <x v="1"/>
    <n v="8"/>
    <n v="0.69234786906479895"/>
    <n v="520"/>
    <n v="160"/>
    <n v="-360"/>
  </r>
  <r>
    <s v="PBOR00310"/>
    <s v="PIZB0002"/>
    <x v="24"/>
    <x v="2"/>
    <x v="1"/>
    <n v="250"/>
    <x v="2"/>
    <n v="3"/>
    <n v="0.73131054716376698"/>
    <n v="750"/>
    <n v="202"/>
    <n v="-548"/>
  </r>
  <r>
    <s v="PBOR00311"/>
    <s v="PIZB0003"/>
    <x v="21"/>
    <x v="3"/>
    <x v="0"/>
    <n v="130"/>
    <x v="0"/>
    <n v="3"/>
    <n v="0.39651294953245197"/>
    <n v="390"/>
    <n v="235"/>
    <n v="-155"/>
  </r>
  <r>
    <s v="PBOR00312"/>
    <s v="PIZB0004"/>
    <x v="32"/>
    <x v="0"/>
    <x v="1"/>
    <n v="72"/>
    <x v="1"/>
    <n v="5"/>
    <n v="0.47053293956185099"/>
    <n v="360"/>
    <n v="191"/>
    <n v="-169"/>
  </r>
  <r>
    <s v="PBOR00313"/>
    <s v="PIZB0001"/>
    <x v="4"/>
    <x v="1"/>
    <x v="0"/>
    <n v="65"/>
    <x v="2"/>
    <n v="9"/>
    <n v="0.90224248458364198"/>
    <n v="585"/>
    <n v="57"/>
    <n v="-528"/>
  </r>
  <r>
    <s v="PBOR00314"/>
    <s v="PIZB0002"/>
    <x v="2"/>
    <x v="2"/>
    <x v="1"/>
    <n v="250"/>
    <x v="0"/>
    <n v="1"/>
    <n v="0.25057968884738402"/>
    <n v="250"/>
    <n v="187"/>
    <n v="-63"/>
  </r>
  <r>
    <s v="PBOR00315"/>
    <s v="PIZB0003"/>
    <x v="27"/>
    <x v="3"/>
    <x v="0"/>
    <n v="130"/>
    <x v="1"/>
    <n v="4"/>
    <n v="0.56892266919679102"/>
    <n v="520"/>
    <n v="224"/>
    <n v="-296"/>
  </r>
  <r>
    <s v="PBOR00316"/>
    <s v="PIZB0004"/>
    <x v="0"/>
    <x v="4"/>
    <x v="1"/>
    <n v="60"/>
    <x v="2"/>
    <n v="6"/>
    <n v="3.3571061374167203E-2"/>
    <n v="360"/>
    <n v="348"/>
    <n v="-12"/>
  </r>
  <r>
    <s v="PBOR00317"/>
    <s v="PIZB0005"/>
    <x v="1"/>
    <x v="5"/>
    <x v="0"/>
    <n v="95"/>
    <x v="0"/>
    <n v="4"/>
    <n v="0.11797039324964401"/>
    <n v="380"/>
    <n v="335"/>
    <n v="-45"/>
  </r>
  <r>
    <s v="PBOR00318"/>
    <s v="PIZB0006"/>
    <x v="28"/>
    <x v="0"/>
    <x v="1"/>
    <n v="72"/>
    <x v="1"/>
    <n v="8"/>
    <n v="2.8176385964748699E-2"/>
    <n v="576"/>
    <n v="560"/>
    <n v="-16"/>
  </r>
  <r>
    <s v="PBOR00319"/>
    <s v="PIZB0001"/>
    <x v="8"/>
    <x v="1"/>
    <x v="0"/>
    <n v="65"/>
    <x v="2"/>
    <n v="8"/>
    <n v="0.66941136725758899"/>
    <n v="520"/>
    <n v="172"/>
    <n v="-348"/>
  </r>
  <r>
    <s v="PBOR00320"/>
    <s v="PIZB0002"/>
    <x v="33"/>
    <x v="2"/>
    <x v="1"/>
    <n v="250"/>
    <x v="0"/>
    <n v="2"/>
    <n v="0.36448172495541797"/>
    <n v="500"/>
    <n v="318"/>
    <n v="-182"/>
  </r>
  <r>
    <s v="PBOR00321"/>
    <s v="PIZB0003"/>
    <x v="14"/>
    <x v="3"/>
    <x v="0"/>
    <n v="130"/>
    <x v="1"/>
    <n v="7"/>
    <n v="0.15416488306079801"/>
    <n v="910"/>
    <n v="770"/>
    <n v="-140"/>
  </r>
  <r>
    <s v="PBOR00322"/>
    <s v="PIZB0004"/>
    <x v="16"/>
    <x v="0"/>
    <x v="1"/>
    <n v="72"/>
    <x v="2"/>
    <n v="7"/>
    <n v="0.66646609625242903"/>
    <n v="504"/>
    <n v="168"/>
    <n v="-336"/>
  </r>
  <r>
    <s v="PBOR00323"/>
    <s v="PIZB0001"/>
    <x v="17"/>
    <x v="1"/>
    <x v="0"/>
    <n v="65"/>
    <x v="0"/>
    <n v="4"/>
    <n v="0.69183752034253299"/>
    <n v="260"/>
    <n v="80"/>
    <n v="-180"/>
  </r>
  <r>
    <s v="PBOR00324"/>
    <s v="PIZB0002"/>
    <x v="17"/>
    <x v="2"/>
    <x v="1"/>
    <n v="250"/>
    <x v="1"/>
    <n v="2"/>
    <n v="0.14649599591234699"/>
    <n v="500"/>
    <n v="427"/>
    <n v="-73"/>
  </r>
  <r>
    <s v="PBOR00325"/>
    <s v="PIZB0003"/>
    <x v="5"/>
    <x v="3"/>
    <x v="0"/>
    <n v="130"/>
    <x v="2"/>
    <n v="2"/>
    <n v="0.98540635482364003"/>
    <n v="260"/>
    <n v="4"/>
    <n v="-256"/>
  </r>
  <r>
    <s v="PBOR00326"/>
    <s v="PIZB0004"/>
    <x v="16"/>
    <x v="0"/>
    <x v="1"/>
    <n v="72"/>
    <x v="0"/>
    <n v="9"/>
    <n v="0.32091320735788698"/>
    <n v="648"/>
    <n v="440"/>
    <n v="-208"/>
  </r>
  <r>
    <s v="PBOR00327"/>
    <s v="PIZB0001"/>
    <x v="1"/>
    <x v="1"/>
    <x v="1"/>
    <n v="65"/>
    <x v="0"/>
    <n v="9"/>
    <n v="0.94495394109275699"/>
    <n v="585"/>
    <n v="32"/>
    <n v="-553"/>
  </r>
  <r>
    <s v="PBOR00328"/>
    <s v="PIZB0002"/>
    <x v="18"/>
    <x v="2"/>
    <x v="1"/>
    <n v="250"/>
    <x v="1"/>
    <n v="2"/>
    <n v="0.509067480271997"/>
    <n v="500"/>
    <n v="245"/>
    <n v="-255"/>
  </r>
  <r>
    <s v="PBOR00329"/>
    <s v="PIZB0003"/>
    <x v="3"/>
    <x v="3"/>
    <x v="1"/>
    <n v="130"/>
    <x v="2"/>
    <n v="4"/>
    <n v="0.66059053266706302"/>
    <n v="520"/>
    <n v="176"/>
    <n v="-344"/>
  </r>
  <r>
    <s v="PBOR00330"/>
    <s v="PIZB0004"/>
    <x v="19"/>
    <x v="0"/>
    <x v="1"/>
    <n v="72"/>
    <x v="0"/>
    <n v="8"/>
    <n v="0.89615601403703105"/>
    <n v="576"/>
    <n v="60"/>
    <n v="-516"/>
  </r>
  <r>
    <s v="PBOR00331"/>
    <s v="PIZB0001"/>
    <x v="20"/>
    <x v="1"/>
    <x v="0"/>
    <n v="65"/>
    <x v="1"/>
    <n v="8"/>
    <n v="0.133950017527805"/>
    <n v="520"/>
    <n v="450"/>
    <n v="-70"/>
  </r>
  <r>
    <s v="PBOR00332"/>
    <s v="PIZB0002"/>
    <x v="21"/>
    <x v="2"/>
    <x v="1"/>
    <n v="250"/>
    <x v="2"/>
    <n v="4"/>
    <n v="0.38237972979984702"/>
    <n v="1000"/>
    <n v="618"/>
    <n v="-382"/>
  </r>
  <r>
    <s v="PBOR00333"/>
    <s v="PIZB0003"/>
    <x v="22"/>
    <x v="3"/>
    <x v="0"/>
    <n v="130"/>
    <x v="0"/>
    <n v="2"/>
    <n v="0.150738256013421"/>
    <n v="260"/>
    <n v="221"/>
    <n v="-39"/>
  </r>
  <r>
    <s v="PBOR00334"/>
    <s v="PIZB0004"/>
    <x v="23"/>
    <x v="4"/>
    <x v="1"/>
    <n v="60"/>
    <x v="1"/>
    <n v="10"/>
    <n v="0.96395128247903095"/>
    <n v="600"/>
    <n v="22"/>
    <n v="-578"/>
  </r>
  <r>
    <s v="PBOR00335"/>
    <s v="PIZB0005"/>
    <x v="24"/>
    <x v="0"/>
    <x v="0"/>
    <n v="72"/>
    <x v="2"/>
    <n v="5"/>
    <n v="0.93894083705684495"/>
    <n v="360"/>
    <n v="22"/>
    <n v="-338"/>
  </r>
  <r>
    <s v="PBOR00336"/>
    <s v="PIZB0001"/>
    <x v="16"/>
    <x v="1"/>
    <x v="1"/>
    <n v="65"/>
    <x v="0"/>
    <n v="7"/>
    <n v="0.90335270578489502"/>
    <n v="455"/>
    <n v="44"/>
    <n v="-411"/>
  </r>
  <r>
    <s v="PBOR00337"/>
    <s v="PIZB0002"/>
    <x v="25"/>
    <x v="2"/>
    <x v="0"/>
    <n v="250"/>
    <x v="1"/>
    <n v="2"/>
    <n v="0.62209777321995896"/>
    <n v="500"/>
    <n v="189"/>
    <n v="-311"/>
  </r>
  <r>
    <s v="PBOR00338"/>
    <s v="PIZB0003"/>
    <x v="6"/>
    <x v="3"/>
    <x v="1"/>
    <n v="130"/>
    <x v="2"/>
    <n v="5"/>
    <n v="6.1676790443396502E-2"/>
    <n v="650"/>
    <n v="610"/>
    <n v="-40"/>
  </r>
  <r>
    <s v="PBOR00339"/>
    <s v="PIZB0004"/>
    <x v="2"/>
    <x v="0"/>
    <x v="0"/>
    <n v="72"/>
    <x v="0"/>
    <n v="12"/>
    <n v="0.49213521317421099"/>
    <n v="864"/>
    <n v="439"/>
    <n v="-425"/>
  </r>
  <r>
    <s v="PBOR00340"/>
    <s v="PIZB0001"/>
    <x v="26"/>
    <x v="1"/>
    <x v="1"/>
    <n v="65"/>
    <x v="1"/>
    <n v="9"/>
    <n v="0.69552711985994897"/>
    <n v="585"/>
    <n v="178"/>
    <n v="-407"/>
  </r>
  <r>
    <s v="PBOR00341"/>
    <s v="PIZB0002"/>
    <x v="4"/>
    <x v="2"/>
    <x v="0"/>
    <n v="250"/>
    <x v="2"/>
    <n v="4"/>
    <n v="0.545289072783541"/>
    <n v="1000"/>
    <n v="455"/>
    <n v="-545"/>
  </r>
  <r>
    <s v="PBOR00342"/>
    <s v="PIZB0003"/>
    <x v="27"/>
    <x v="3"/>
    <x v="1"/>
    <n v="130"/>
    <x v="0"/>
    <n v="4"/>
    <n v="0.35199536538224702"/>
    <n v="520"/>
    <n v="337"/>
    <n v="-183"/>
  </r>
  <r>
    <s v="PBOR00343"/>
    <s v="PIZB0004"/>
    <x v="15"/>
    <x v="4"/>
    <x v="0"/>
    <n v="60"/>
    <x v="1"/>
    <n v="6"/>
    <n v="6.0292533629099102E-2"/>
    <n v="360"/>
    <n v="338"/>
    <n v="-22"/>
  </r>
  <r>
    <s v="PBOR00344"/>
    <s v="PIZB0005"/>
    <x v="28"/>
    <x v="5"/>
    <x v="1"/>
    <n v="95"/>
    <x v="2"/>
    <n v="7"/>
    <n v="4.1434457281700601E-2"/>
    <n v="665"/>
    <n v="637"/>
    <n v="-28"/>
  </r>
  <r>
    <s v="PBOR00345"/>
    <s v="PIZB0006"/>
    <x v="8"/>
    <x v="0"/>
    <x v="0"/>
    <n v="72"/>
    <x v="0"/>
    <n v="3"/>
    <n v="0.29516274884520199"/>
    <n v="216"/>
    <n v="152"/>
    <n v="-64"/>
  </r>
  <r>
    <s v="PBOR00346"/>
    <s v="PIZB0001"/>
    <x v="6"/>
    <x v="1"/>
    <x v="1"/>
    <n v="65"/>
    <x v="1"/>
    <n v="4"/>
    <n v="0.68154294540119298"/>
    <n v="260"/>
    <n v="83"/>
    <n v="-177"/>
  </r>
  <r>
    <s v="PBOR00347"/>
    <s v="PIZB0002"/>
    <x v="27"/>
    <x v="2"/>
    <x v="0"/>
    <n v="250"/>
    <x v="2"/>
    <n v="1"/>
    <n v="0.52632346520297402"/>
    <n v="250"/>
    <n v="118"/>
    <n v="-132"/>
  </r>
  <r>
    <s v="PBOR00348"/>
    <s v="PIZB0003"/>
    <x v="10"/>
    <x v="3"/>
    <x v="1"/>
    <n v="130"/>
    <x v="0"/>
    <n v="6"/>
    <n v="5.4437687903536897E-2"/>
    <n v="780"/>
    <n v="738"/>
    <n v="-42"/>
  </r>
  <r>
    <s v="PBOR00349"/>
    <s v="PIZB0004"/>
    <x v="29"/>
    <x v="0"/>
    <x v="1"/>
    <n v="72"/>
    <x v="1"/>
    <n v="10"/>
    <n v="0.95350738842174898"/>
    <n v="720"/>
    <n v="33"/>
    <n v="-687"/>
  </r>
  <r>
    <s v="PBOR00350"/>
    <s v="PIZB0001"/>
    <x v="30"/>
    <x v="1"/>
    <x v="1"/>
    <n v="65"/>
    <x v="2"/>
    <n v="4"/>
    <n v="0.46726651348176201"/>
    <n v="260"/>
    <n v="139"/>
    <n v="-121"/>
  </r>
  <r>
    <s v="PBOR00351"/>
    <s v="PIZB0002"/>
    <x v="31"/>
    <x v="2"/>
    <x v="1"/>
    <n v="250"/>
    <x v="0"/>
    <n v="2"/>
    <n v="0.60150898156119903"/>
    <n v="500"/>
    <n v="199"/>
    <n v="-301"/>
  </r>
  <r>
    <s v="PBOR00352"/>
    <s v="PIZB0003"/>
    <x v="27"/>
    <x v="3"/>
    <x v="1"/>
    <n v="130"/>
    <x v="1"/>
    <n v="7"/>
    <n v="0.17158764742187799"/>
    <n v="910"/>
    <n v="754"/>
    <n v="-156"/>
  </r>
  <r>
    <s v="PBOR00353"/>
    <s v="PIZB0004"/>
    <x v="29"/>
    <x v="4"/>
    <x v="0"/>
    <n v="60"/>
    <x v="2"/>
    <n v="11"/>
    <n v="0.44731050880102902"/>
    <n v="660"/>
    <n v="365"/>
    <n v="-295"/>
  </r>
  <r>
    <s v="PBOR00354"/>
    <s v="PIZB0005"/>
    <x v="1"/>
    <x v="0"/>
    <x v="1"/>
    <n v="72"/>
    <x v="0"/>
    <n v="8"/>
    <n v="0.54246953050958202"/>
    <n v="576"/>
    <n v="264"/>
    <n v="-312"/>
  </r>
  <r>
    <s v="PBOR00355"/>
    <s v="PIZB0001"/>
    <x v="11"/>
    <x v="1"/>
    <x v="0"/>
    <n v="65"/>
    <x v="1"/>
    <n v="11"/>
    <n v="0.50484804947298401"/>
    <n v="715"/>
    <n v="354"/>
    <n v="-361"/>
  </r>
  <r>
    <s v="PBOR00356"/>
    <s v="PIZB0002"/>
    <x v="5"/>
    <x v="2"/>
    <x v="1"/>
    <n v="250"/>
    <x v="2"/>
    <n v="4"/>
    <n v="9.2316747421295503E-2"/>
    <n v="1000"/>
    <n v="908"/>
    <n v="-92"/>
  </r>
  <r>
    <s v="PBOR00357"/>
    <s v="PIZB0003"/>
    <x v="2"/>
    <x v="3"/>
    <x v="0"/>
    <n v="130"/>
    <x v="0"/>
    <n v="7"/>
    <n v="0.34907542272706199"/>
    <n v="910"/>
    <n v="592"/>
    <n v="-318"/>
  </r>
  <r>
    <s v="PBOR00358"/>
    <s v="PIZB0004"/>
    <x v="31"/>
    <x v="0"/>
    <x v="1"/>
    <n v="72"/>
    <x v="1"/>
    <n v="4"/>
    <n v="0.90031823580716597"/>
    <n v="288"/>
    <n v="29"/>
    <n v="-259"/>
  </r>
  <r>
    <s v="PBOR00359"/>
    <s v="PIZB0001"/>
    <x v="3"/>
    <x v="1"/>
    <x v="0"/>
    <n v="65"/>
    <x v="2"/>
    <n v="5"/>
    <n v="0.180506927954627"/>
    <n v="325"/>
    <n v="266"/>
    <n v="-59"/>
  </r>
  <r>
    <s v="PBOR00360"/>
    <s v="PIZB0002"/>
    <x v="25"/>
    <x v="2"/>
    <x v="1"/>
    <n v="250"/>
    <x v="0"/>
    <n v="1"/>
    <n v="2.5445092820001299E-2"/>
    <n v="250"/>
    <n v="244"/>
    <n v="-6"/>
  </r>
  <r>
    <s v="PBOR00361"/>
    <s v="PIZB0003"/>
    <x v="7"/>
    <x v="3"/>
    <x v="0"/>
    <n v="130"/>
    <x v="1"/>
    <n v="2"/>
    <n v="0.79643741142705504"/>
    <n v="260"/>
    <n v="53"/>
    <n v="-207"/>
  </r>
  <r>
    <s v="PBOR00362"/>
    <s v="PIZB0004"/>
    <x v="25"/>
    <x v="4"/>
    <x v="1"/>
    <n v="60"/>
    <x v="2"/>
    <n v="14"/>
    <n v="0.16077213359827799"/>
    <n v="840"/>
    <n v="705"/>
    <n v="-135"/>
  </r>
  <r>
    <s v="PBOR00363"/>
    <s v="PIZB0005"/>
    <x v="32"/>
    <x v="5"/>
    <x v="0"/>
    <n v="95"/>
    <x v="0"/>
    <n v="9"/>
    <n v="0.24693836978869799"/>
    <n v="855"/>
    <n v="644"/>
    <n v="-211"/>
  </r>
  <r>
    <s v="PBOR00364"/>
    <s v="PIZB0006"/>
    <x v="33"/>
    <x v="0"/>
    <x v="1"/>
    <n v="72"/>
    <x v="1"/>
    <n v="8"/>
    <n v="0.22148207946738799"/>
    <n v="576"/>
    <n v="448"/>
    <n v="-128"/>
  </r>
  <r>
    <s v="PBOR00365"/>
    <s v="PIZB0001"/>
    <x v="33"/>
    <x v="1"/>
    <x v="0"/>
    <n v="65"/>
    <x v="2"/>
    <n v="11"/>
    <n v="0.71458846230959505"/>
    <n v="715"/>
    <n v="204"/>
    <n v="-511"/>
  </r>
  <r>
    <s v="PBOR00366"/>
    <s v="PIZB0002"/>
    <x v="22"/>
    <x v="2"/>
    <x v="1"/>
    <n v="250"/>
    <x v="0"/>
    <n v="4"/>
    <n v="0.11286694488931499"/>
    <n v="1000"/>
    <n v="887"/>
    <n v="-113"/>
  </r>
  <r>
    <s v="PBOR00367"/>
    <s v="PIZB0003"/>
    <x v="34"/>
    <x v="3"/>
    <x v="0"/>
    <n v="130"/>
    <x v="1"/>
    <n v="6"/>
    <n v="6.5283590828819807E-2"/>
    <n v="780"/>
    <n v="729"/>
    <n v="-51"/>
  </r>
  <r>
    <s v="PBOR00368"/>
    <s v="PIZB0004"/>
    <x v="7"/>
    <x v="0"/>
    <x v="1"/>
    <n v="72"/>
    <x v="2"/>
    <n v="11"/>
    <n v="0.46681751998353099"/>
    <n v="792"/>
    <n v="422"/>
    <n v="-370"/>
  </r>
  <r>
    <s v="PBOR00369"/>
    <s v="PIZB0001"/>
    <x v="3"/>
    <x v="1"/>
    <x v="0"/>
    <n v="65"/>
    <x v="0"/>
    <n v="9"/>
    <n v="0.92202770154223701"/>
    <n v="585"/>
    <n v="46"/>
    <n v="-539"/>
  </r>
  <r>
    <s v="PBOR00370"/>
    <s v="PIZB0002"/>
    <x v="31"/>
    <x v="2"/>
    <x v="1"/>
    <n v="250"/>
    <x v="1"/>
    <n v="2"/>
    <n v="0.18840485753727201"/>
    <n v="500"/>
    <n v="406"/>
    <n v="-94"/>
  </r>
  <r>
    <s v="PBOR00371"/>
    <s v="PIZB0003"/>
    <x v="4"/>
    <x v="3"/>
    <x v="1"/>
    <n v="130"/>
    <x v="2"/>
    <n v="2"/>
    <n v="0.278470721372092"/>
    <n v="260"/>
    <n v="188"/>
    <n v="-72"/>
  </r>
  <r>
    <s v="PBOR00372"/>
    <s v="PIZB0001"/>
    <x v="34"/>
    <x v="0"/>
    <x v="1"/>
    <n v="72"/>
    <x v="0"/>
    <n v="10"/>
    <n v="0.78884251376405201"/>
    <n v="720"/>
    <n v="152"/>
    <n v="-568"/>
  </r>
  <r>
    <s v="PBOR00373"/>
    <s v="PIZB0002"/>
    <x v="13"/>
    <x v="1"/>
    <x v="1"/>
    <n v="65"/>
    <x v="0"/>
    <n v="5"/>
    <n v="0.182991685488964"/>
    <n v="325"/>
    <n v="266"/>
    <n v="-59"/>
  </r>
  <r>
    <s v="PBOR00374"/>
    <s v="PIZB0003"/>
    <x v="35"/>
    <x v="2"/>
    <x v="1"/>
    <n v="250"/>
    <x v="1"/>
    <n v="3"/>
    <n v="0.20591715888097001"/>
    <n v="750"/>
    <n v="596"/>
    <n v="-154"/>
  </r>
  <r>
    <s v="PBOR00375"/>
    <s v="PIZB0004"/>
    <x v="2"/>
    <x v="3"/>
    <x v="0"/>
    <n v="130"/>
    <x v="2"/>
    <n v="2"/>
    <n v="2.1283398368879401E-2"/>
    <n v="260"/>
    <n v="254"/>
    <n v="-6"/>
  </r>
  <r>
    <s v="PBOR00376"/>
    <s v="PIZB0001"/>
    <x v="13"/>
    <x v="0"/>
    <x v="1"/>
    <n v="72"/>
    <x v="0"/>
    <n v="4"/>
    <n v="2.2806889019524702E-2"/>
    <n v="288"/>
    <n v="281"/>
    <n v="-7"/>
  </r>
  <r>
    <s v="PBOR00377"/>
    <s v="PIZB0002"/>
    <x v="18"/>
    <x v="1"/>
    <x v="0"/>
    <n v="65"/>
    <x v="1"/>
    <n v="6"/>
    <n v="0.66448214030499098"/>
    <n v="390"/>
    <n v="131"/>
    <n v="-259"/>
  </r>
  <r>
    <s v="PBOR00378"/>
    <s v="PIZB0003"/>
    <x v="23"/>
    <x v="2"/>
    <x v="1"/>
    <n v="250"/>
    <x v="2"/>
    <n v="3"/>
    <n v="0.29151955249280498"/>
    <n v="750"/>
    <n v="531"/>
    <n v="-219"/>
  </r>
  <r>
    <s v="PBOR00379"/>
    <s v="PIZB0004"/>
    <x v="36"/>
    <x v="3"/>
    <x v="0"/>
    <n v="130"/>
    <x v="0"/>
    <n v="5"/>
    <n v="0.556840981103363"/>
    <n v="650"/>
    <n v="288"/>
    <n v="-362"/>
  </r>
  <r>
    <s v="PBOR00380"/>
    <s v="PIZB0005"/>
    <x v="37"/>
    <x v="4"/>
    <x v="1"/>
    <n v="60"/>
    <x v="1"/>
    <n v="14"/>
    <n v="0.57240542144015605"/>
    <n v="840"/>
    <n v="359"/>
    <n v="-481"/>
  </r>
  <r>
    <s v="PBOR00381"/>
    <s v="PIZB0001"/>
    <x v="4"/>
    <x v="0"/>
    <x v="0"/>
    <n v="72"/>
    <x v="2"/>
    <n v="3"/>
    <n v="8.6221643115211702E-2"/>
    <n v="216"/>
    <n v="197"/>
    <n v="-19"/>
  </r>
  <r>
    <s v="PBOR00382"/>
    <s v="PIZB0002"/>
    <x v="3"/>
    <x v="1"/>
    <x v="1"/>
    <n v="65"/>
    <x v="0"/>
    <n v="10"/>
    <n v="0.95609718609661598"/>
    <n v="650"/>
    <n v="29"/>
    <n v="-621"/>
  </r>
  <r>
    <s v="PBOR00383"/>
    <s v="PIZB0003"/>
    <x v="35"/>
    <x v="2"/>
    <x v="0"/>
    <n v="250"/>
    <x v="1"/>
    <n v="2"/>
    <n v="0.24552237682220901"/>
    <n v="500"/>
    <n v="377"/>
    <n v="-123"/>
  </r>
  <r>
    <s v="PBOR00384"/>
    <s v="PIZB0004"/>
    <x v="11"/>
    <x v="3"/>
    <x v="1"/>
    <n v="130"/>
    <x v="2"/>
    <n v="7"/>
    <n v="0.56637632681080696"/>
    <n v="910"/>
    <n v="395"/>
    <n v="-515"/>
  </r>
  <r>
    <s v="PBOR00385"/>
    <s v="PIZB0001"/>
    <x v="10"/>
    <x v="0"/>
    <x v="0"/>
    <n v="72"/>
    <x v="0"/>
    <n v="11"/>
    <n v="4.5179835219914199E-2"/>
    <n v="792"/>
    <n v="756"/>
    <n v="-36"/>
  </r>
  <r>
    <s v="PBOR00386"/>
    <s v="PIZB0002"/>
    <x v="1"/>
    <x v="1"/>
    <x v="1"/>
    <n v="65"/>
    <x v="1"/>
    <n v="13"/>
    <n v="0.97345529924354901"/>
    <n v="845"/>
    <n v="22"/>
    <n v="-823"/>
  </r>
  <r>
    <s v="PBOR00387"/>
    <s v="PIZB0003"/>
    <x v="17"/>
    <x v="2"/>
    <x v="0"/>
    <n v="250"/>
    <x v="2"/>
    <n v="3"/>
    <n v="0.56733394419124195"/>
    <n v="750"/>
    <n v="324"/>
    <n v="-426"/>
  </r>
  <r>
    <s v="PBOR00388"/>
    <s v="PIZB0004"/>
    <x v="17"/>
    <x v="3"/>
    <x v="1"/>
    <n v="130"/>
    <x v="0"/>
    <n v="6"/>
    <n v="0.37928431149731201"/>
    <n v="780"/>
    <n v="484"/>
    <n v="-296"/>
  </r>
  <r>
    <s v="PBOR00389"/>
    <s v="PIZB0005"/>
    <x v="37"/>
    <x v="4"/>
    <x v="0"/>
    <n v="60"/>
    <x v="1"/>
    <n v="15"/>
    <n v="0.62865911330533597"/>
    <n v="900"/>
    <n v="334"/>
    <n v="-566"/>
  </r>
  <r>
    <s v="PBOR00390"/>
    <s v="PIZB0006"/>
    <x v="4"/>
    <x v="5"/>
    <x v="1"/>
    <n v="95"/>
    <x v="2"/>
    <n v="6"/>
    <n v="0.37937934610324497"/>
    <n v="570"/>
    <n v="354"/>
    <n v="-216"/>
  </r>
  <r>
    <s v="PBOR00391"/>
    <s v="PIZB0001"/>
    <x v="2"/>
    <x v="0"/>
    <x v="0"/>
    <n v="72"/>
    <x v="0"/>
    <n v="11"/>
    <n v="0.35891515866951101"/>
    <n v="792"/>
    <n v="508"/>
    <n v="-284"/>
  </r>
  <r>
    <s v="PBOR00392"/>
    <s v="PIZB0002"/>
    <x v="12"/>
    <x v="1"/>
    <x v="1"/>
    <n v="65"/>
    <x v="1"/>
    <n v="13"/>
    <n v="0.90122352916020398"/>
    <n v="845"/>
    <n v="83"/>
    <n v="-762"/>
  </r>
  <r>
    <s v="PBOR00393"/>
    <s v="PIZB0003"/>
    <x v="0"/>
    <x v="2"/>
    <x v="1"/>
    <n v="250"/>
    <x v="2"/>
    <n v="3"/>
    <n v="0.377865978777288"/>
    <n v="750"/>
    <n v="467"/>
    <n v="-283"/>
  </r>
  <r>
    <s v="PBOR00394"/>
    <s v="PIZB0004"/>
    <x v="38"/>
    <x v="3"/>
    <x v="1"/>
    <n v="130"/>
    <x v="0"/>
    <n v="3"/>
    <n v="0.38913445453338702"/>
    <n v="390"/>
    <n v="238"/>
    <n v="-152"/>
  </r>
  <r>
    <s v="PBOR00395"/>
    <s v="PIZB0001"/>
    <x v="1"/>
    <x v="0"/>
    <x v="1"/>
    <n v="72"/>
    <x v="1"/>
    <n v="12"/>
    <n v="0.60714667724340499"/>
    <n v="864"/>
    <n v="339"/>
    <n v="-525"/>
  </r>
  <r>
    <s v="PBOR00396"/>
    <s v="PIZB0002"/>
    <x v="2"/>
    <x v="1"/>
    <x v="1"/>
    <n v="65"/>
    <x v="2"/>
    <n v="8"/>
    <n v="0.17261163513710201"/>
    <n v="520"/>
    <n v="430"/>
    <n v="-90"/>
  </r>
  <r>
    <s v="PBOR00397"/>
    <s v="PIZB0003"/>
    <x v="5"/>
    <x v="2"/>
    <x v="0"/>
    <n v="250"/>
    <x v="0"/>
    <n v="1"/>
    <n v="3.4451566476951502E-2"/>
    <n v="250"/>
    <n v="241"/>
    <n v="-9"/>
  </r>
  <r>
    <s v="PBOR00398"/>
    <s v="PIZB0004"/>
    <x v="3"/>
    <x v="3"/>
    <x v="1"/>
    <n v="130"/>
    <x v="1"/>
    <n v="4"/>
    <n v="0.36600821552214802"/>
    <n v="520"/>
    <n v="330"/>
    <n v="-190"/>
  </r>
  <r>
    <s v="PBOR00399"/>
    <s v="PIZB0005"/>
    <x v="36"/>
    <x v="4"/>
    <x v="0"/>
    <n v="60"/>
    <x v="2"/>
    <n v="4"/>
    <n v="0.368763047973245"/>
    <n v="240"/>
    <n v="151"/>
    <n v="-89"/>
  </r>
  <r>
    <s v="PBOR00400"/>
    <s v="PIZB0001"/>
    <x v="24"/>
    <x v="0"/>
    <x v="1"/>
    <n v="72"/>
    <x v="0"/>
    <n v="12"/>
    <n v="0.78491525862060296"/>
    <n v="864"/>
    <n v="186"/>
    <n v="-678"/>
  </r>
  <r>
    <s v="PBOR00401"/>
    <s v="PIZB0002"/>
    <x v="21"/>
    <x v="1"/>
    <x v="0"/>
    <n v="65"/>
    <x v="1"/>
    <n v="4"/>
    <n v="0.89433154555842898"/>
    <n v="260"/>
    <n v="27"/>
    <n v="-233"/>
  </r>
  <r>
    <s v="PBOR00402"/>
    <s v="PIZB0003"/>
    <x v="32"/>
    <x v="2"/>
    <x v="1"/>
    <n v="250"/>
    <x v="2"/>
    <n v="1"/>
    <n v="0.54494310667938295"/>
    <n v="250"/>
    <n v="114"/>
    <n v="-136"/>
  </r>
  <r>
    <s v="PBOR00403"/>
    <s v="PIZB0004"/>
    <x v="4"/>
    <x v="3"/>
    <x v="0"/>
    <n v="130"/>
    <x v="0"/>
    <n v="7"/>
    <n v="0.84443209424513699"/>
    <n v="910"/>
    <n v="142"/>
    <n v="-768"/>
  </r>
  <r>
    <s v="PBOR00404"/>
    <s v="PIZB0001"/>
    <x v="2"/>
    <x v="0"/>
    <x v="1"/>
    <n v="72"/>
    <x v="1"/>
    <n v="7"/>
    <n v="0.110840778780581"/>
    <n v="504"/>
    <n v="448"/>
    <n v="-56"/>
  </r>
  <r>
    <s v="PBOR00405"/>
    <s v="PIZB0002"/>
    <x v="27"/>
    <x v="1"/>
    <x v="0"/>
    <n v="65"/>
    <x v="2"/>
    <n v="9"/>
    <n v="0.26630312920291799"/>
    <n v="585"/>
    <n v="429"/>
    <n v="-156"/>
  </r>
  <r>
    <s v="PBOR00406"/>
    <s v="PIZB0003"/>
    <x v="0"/>
    <x v="2"/>
    <x v="1"/>
    <n v="250"/>
    <x v="0"/>
    <n v="3"/>
    <n v="0.13279161787420099"/>
    <n v="750"/>
    <n v="650"/>
    <n v="-100"/>
  </r>
  <r>
    <s v="PBOR00407"/>
    <s v="PIZB0004"/>
    <x v="1"/>
    <x v="3"/>
    <x v="0"/>
    <n v="130"/>
    <x v="1"/>
    <n v="4"/>
    <n v="0.20794478004129099"/>
    <n v="520"/>
    <n v="412"/>
    <n v="-108"/>
  </r>
  <r>
    <s v="PBOR00408"/>
    <s v="PIZB0005"/>
    <x v="28"/>
    <x v="4"/>
    <x v="1"/>
    <n v="60"/>
    <x v="2"/>
    <n v="12"/>
    <n v="0.76031378549826001"/>
    <n v="720"/>
    <n v="173"/>
    <n v="-547"/>
  </r>
  <r>
    <s v="PBOR00409"/>
    <s v="PIZB0006"/>
    <x v="8"/>
    <x v="5"/>
    <x v="0"/>
    <n v="95"/>
    <x v="0"/>
    <n v="8"/>
    <n v="0.23804641255169801"/>
    <n v="760"/>
    <n v="579"/>
    <n v="-181"/>
  </r>
  <r>
    <s v="PBOR00410"/>
    <s v="PIZB0001"/>
    <x v="33"/>
    <x v="0"/>
    <x v="1"/>
    <n v="72"/>
    <x v="1"/>
    <n v="5"/>
    <n v="0.125236893699367"/>
    <n v="360"/>
    <n v="315"/>
    <n v="-45"/>
  </r>
  <r>
    <s v="PBOR00411"/>
    <s v="PIZB0002"/>
    <x v="14"/>
    <x v="1"/>
    <x v="0"/>
    <n v="65"/>
    <x v="2"/>
    <n v="4"/>
    <n v="6.7101746358327094E-2"/>
    <n v="260"/>
    <n v="243"/>
    <n v="-17"/>
  </r>
  <r>
    <s v="PBOR00412"/>
    <s v="PIZB0003"/>
    <x v="16"/>
    <x v="2"/>
    <x v="1"/>
    <n v="250"/>
    <x v="0"/>
    <n v="2"/>
    <n v="0.98970617123906501"/>
    <n v="500"/>
    <n v="5"/>
    <n v="-495"/>
  </r>
  <r>
    <s v="PBOR00413"/>
    <s v="PIZB0004"/>
    <x v="17"/>
    <x v="3"/>
    <x v="0"/>
    <n v="130"/>
    <x v="1"/>
    <n v="2"/>
    <n v="0.26202679185175098"/>
    <n v="260"/>
    <n v="192"/>
    <n v="-68"/>
  </r>
  <r>
    <s v="PBOR00414"/>
    <s v="PIZB0001"/>
    <x v="17"/>
    <x v="0"/>
    <x v="1"/>
    <n v="72"/>
    <x v="2"/>
    <n v="10"/>
    <n v="0.872631439539165"/>
    <n v="720"/>
    <n v="92"/>
    <n v="-628"/>
  </r>
  <r>
    <s v="PBOR00415"/>
    <s v="PIZB0002"/>
    <x v="5"/>
    <x v="1"/>
    <x v="1"/>
    <n v="65"/>
    <x v="0"/>
    <n v="6"/>
    <n v="0.767781370622723"/>
    <n v="390"/>
    <n v="91"/>
    <n v="-299"/>
  </r>
  <r>
    <s v="PBOR00416"/>
    <s v="PIZB0003"/>
    <x v="16"/>
    <x v="2"/>
    <x v="1"/>
    <n v="250"/>
    <x v="1"/>
    <n v="1"/>
    <n v="0.157500106311217"/>
    <n v="250"/>
    <n v="211"/>
    <n v="-39"/>
  </r>
  <r>
    <s v="PBOR00417"/>
    <s v="PIZB0004"/>
    <x v="1"/>
    <x v="0"/>
    <x v="1"/>
    <n v="72"/>
    <x v="2"/>
    <n v="9"/>
    <n v="0.535701714654926"/>
    <n v="648"/>
    <n v="301"/>
    <n v="-347"/>
  </r>
  <r>
    <s v="PBOR00418"/>
    <s v="PIZB0001"/>
    <x v="18"/>
    <x v="1"/>
    <x v="1"/>
    <n v="65"/>
    <x v="0"/>
    <n v="7"/>
    <n v="0.88217490075954397"/>
    <n v="455"/>
    <n v="54"/>
    <n v="-401"/>
  </r>
  <r>
    <s v="PBOR00419"/>
    <s v="PIZB0002"/>
    <x v="3"/>
    <x v="2"/>
    <x v="0"/>
    <n v="250"/>
    <x v="0"/>
    <n v="3"/>
    <n v="7.48500814655743E-2"/>
    <n v="750"/>
    <n v="694"/>
    <n v="-56"/>
  </r>
  <r>
    <s v="PBOR00420"/>
    <s v="PIZB0003"/>
    <x v="19"/>
    <x v="3"/>
    <x v="1"/>
    <n v="130"/>
    <x v="1"/>
    <n v="4"/>
    <n v="0.46235152425303"/>
    <n v="520"/>
    <n v="280"/>
    <n v="-240"/>
  </r>
  <r>
    <s v="PBOR00421"/>
    <s v="PIZB0004"/>
    <x v="20"/>
    <x v="0"/>
    <x v="0"/>
    <n v="72"/>
    <x v="2"/>
    <n v="10"/>
    <n v="0.34462700763177101"/>
    <n v="720"/>
    <n v="472"/>
    <n v="-248"/>
  </r>
  <r>
    <s v="PBOR00422"/>
    <s v="PIZB0001"/>
    <x v="21"/>
    <x v="1"/>
    <x v="1"/>
    <n v="65"/>
    <x v="0"/>
    <n v="7"/>
    <n v="0.69911624131260197"/>
    <n v="455"/>
    <n v="137"/>
    <n v="-318"/>
  </r>
  <r>
    <s v="PBOR00423"/>
    <s v="PIZB0002"/>
    <x v="22"/>
    <x v="2"/>
    <x v="0"/>
    <n v="250"/>
    <x v="1"/>
    <n v="1"/>
    <n v="1.8909469867059901E-2"/>
    <n v="250"/>
    <n v="245"/>
    <n v="-5"/>
  </r>
  <r>
    <s v="PBOR00424"/>
    <s v="PIZB0003"/>
    <x v="23"/>
    <x v="3"/>
    <x v="1"/>
    <n v="130"/>
    <x v="2"/>
    <n v="5"/>
    <n v="0.73245470088007103"/>
    <n v="650"/>
    <n v="174"/>
    <n v="-476"/>
  </r>
  <r>
    <s v="PBOR00425"/>
    <s v="PIZB0004"/>
    <x v="24"/>
    <x v="4"/>
    <x v="0"/>
    <n v="60"/>
    <x v="0"/>
    <n v="5"/>
    <n v="0.72297451744539298"/>
    <n v="300"/>
    <n v="83"/>
    <n v="-217"/>
  </r>
  <r>
    <s v="PBOR00426"/>
    <s v="PIZB0005"/>
    <x v="16"/>
    <x v="0"/>
    <x v="1"/>
    <n v="72"/>
    <x v="1"/>
    <n v="9"/>
    <n v="0.97417776505363796"/>
    <n v="648"/>
    <n v="17"/>
    <n v="-631"/>
  </r>
  <r>
    <s v="PBOR00427"/>
    <s v="PIZB0001"/>
    <x v="25"/>
    <x v="1"/>
    <x v="0"/>
    <n v="65"/>
    <x v="2"/>
    <n v="7"/>
    <n v="0.92441295707634297"/>
    <n v="455"/>
    <n v="34"/>
    <n v="-421"/>
  </r>
  <r>
    <s v="PBOR00428"/>
    <s v="PIZB0002"/>
    <x v="6"/>
    <x v="2"/>
    <x v="1"/>
    <n v="250"/>
    <x v="0"/>
    <n v="3"/>
    <n v="0.34841204291363498"/>
    <n v="750"/>
    <n v="489"/>
    <n v="-261"/>
  </r>
  <r>
    <s v="PBOR00429"/>
    <s v="PIZB0003"/>
    <x v="2"/>
    <x v="3"/>
    <x v="0"/>
    <n v="130"/>
    <x v="1"/>
    <n v="7"/>
    <n v="0.368627955024868"/>
    <n v="910"/>
    <n v="575"/>
    <n v="-335"/>
  </r>
  <r>
    <s v="PBOR00430"/>
    <s v="PIZB0004"/>
    <x v="26"/>
    <x v="0"/>
    <x v="1"/>
    <n v="72"/>
    <x v="2"/>
    <n v="12"/>
    <n v="0.38279600115505602"/>
    <n v="864"/>
    <n v="533"/>
    <n v="-331"/>
  </r>
  <r>
    <s v="PBOR00431"/>
    <s v="PIZB0001"/>
    <x v="4"/>
    <x v="1"/>
    <x v="0"/>
    <n v="65"/>
    <x v="0"/>
    <n v="7"/>
    <n v="0.772781619237633"/>
    <n v="455"/>
    <n v="103"/>
    <n v="-352"/>
  </r>
  <r>
    <s v="PBOR00432"/>
    <s v="PIZB0002"/>
    <x v="27"/>
    <x v="2"/>
    <x v="1"/>
    <n v="250"/>
    <x v="1"/>
    <n v="3"/>
    <n v="0.98194581947705395"/>
    <n v="750"/>
    <n v="14"/>
    <n v="-736"/>
  </r>
  <r>
    <s v="PBOR00433"/>
    <s v="PIZB0003"/>
    <x v="15"/>
    <x v="3"/>
    <x v="0"/>
    <n v="130"/>
    <x v="2"/>
    <n v="6"/>
    <n v="0.24372632968767699"/>
    <n v="780"/>
    <n v="590"/>
    <n v="-190"/>
  </r>
  <r>
    <s v="PBOR00434"/>
    <s v="PIZB0004"/>
    <x v="28"/>
    <x v="4"/>
    <x v="1"/>
    <n v="60"/>
    <x v="0"/>
    <n v="14"/>
    <n v="0.50977491571581601"/>
    <n v="840"/>
    <n v="412"/>
    <n v="-428"/>
  </r>
  <r>
    <s v="PBOR00435"/>
    <s v="PIZB0005"/>
    <x v="8"/>
    <x v="5"/>
    <x v="0"/>
    <n v="95"/>
    <x v="1"/>
    <n v="7"/>
    <n v="0.99123744515485701"/>
    <n v="665"/>
    <n v="6"/>
    <n v="-659"/>
  </r>
  <r>
    <s v="PBOR00436"/>
    <s v="PIZB0006"/>
    <x v="6"/>
    <x v="0"/>
    <x v="1"/>
    <n v="72"/>
    <x v="2"/>
    <n v="5"/>
    <n v="0.58001027642401204"/>
    <n v="360"/>
    <n v="151"/>
    <n v="-209"/>
  </r>
  <r>
    <s v="PBOR00437"/>
    <s v="PIZB0001"/>
    <x v="27"/>
    <x v="1"/>
    <x v="1"/>
    <n v="65"/>
    <x v="0"/>
    <n v="8"/>
    <n v="0.200998095208025"/>
    <n v="520"/>
    <n v="415"/>
    <n v="-105"/>
  </r>
  <r>
    <s v="PBOR00438"/>
    <s v="PIZB0002"/>
    <x v="10"/>
    <x v="2"/>
    <x v="1"/>
    <n v="250"/>
    <x v="1"/>
    <n v="3"/>
    <n v="8.7589082057090401E-2"/>
    <n v="750"/>
    <n v="684"/>
    <n v="-66"/>
  </r>
  <r>
    <s v="PBOR00439"/>
    <s v="PIZB0003"/>
    <x v="29"/>
    <x v="3"/>
    <x v="1"/>
    <n v="130"/>
    <x v="2"/>
    <n v="4"/>
    <n v="0.92203517798439605"/>
    <n v="520"/>
    <n v="41"/>
    <n v="-479"/>
  </r>
  <r>
    <s v="PBOR00440"/>
    <s v="PIZB0004"/>
    <x v="30"/>
    <x v="0"/>
    <x v="1"/>
    <n v="72"/>
    <x v="0"/>
    <n v="10"/>
    <n v="0.406469512164156"/>
    <n v="720"/>
    <n v="427"/>
    <n v="-293"/>
  </r>
  <r>
    <s v="PBOR00441"/>
    <s v="PIZB0001"/>
    <x v="31"/>
    <x v="1"/>
    <x v="0"/>
    <n v="65"/>
    <x v="1"/>
    <n v="4"/>
    <n v="0.45522048494031297"/>
    <n v="260"/>
    <n v="142"/>
    <n v="-118"/>
  </r>
  <r>
    <s v="PBOR00442"/>
    <s v="PIZB0002"/>
    <x v="27"/>
    <x v="2"/>
    <x v="1"/>
    <n v="250"/>
    <x v="2"/>
    <n v="3"/>
    <n v="0.45514828780898198"/>
    <n v="750"/>
    <n v="409"/>
    <n v="-341"/>
  </r>
  <r>
    <s v="PBOR00443"/>
    <s v="PIZB0003"/>
    <x v="29"/>
    <x v="3"/>
    <x v="0"/>
    <n v="130"/>
    <x v="0"/>
    <n v="2"/>
    <n v="0.30126486834826399"/>
    <n v="260"/>
    <n v="182"/>
    <n v="-78"/>
  </r>
  <r>
    <s v="PBOR00444"/>
    <s v="PIZB0004"/>
    <x v="1"/>
    <x v="4"/>
    <x v="1"/>
    <n v="60"/>
    <x v="1"/>
    <n v="4"/>
    <n v="0.22886312078587401"/>
    <n v="240"/>
    <n v="185"/>
    <n v="-55"/>
  </r>
  <r>
    <s v="PBOR00445"/>
    <s v="PIZB0005"/>
    <x v="11"/>
    <x v="0"/>
    <x v="0"/>
    <n v="72"/>
    <x v="2"/>
    <n v="4"/>
    <n v="0.488558790209001"/>
    <n v="288"/>
    <n v="147"/>
    <n v="-141"/>
  </r>
  <r>
    <s v="PBOR00446"/>
    <s v="PIZB0001"/>
    <x v="5"/>
    <x v="1"/>
    <x v="1"/>
    <n v="65"/>
    <x v="0"/>
    <n v="7"/>
    <n v="0.88301012782394905"/>
    <n v="455"/>
    <n v="53"/>
    <n v="-402"/>
  </r>
  <r>
    <s v="PBOR00447"/>
    <s v="PIZB0002"/>
    <x v="2"/>
    <x v="2"/>
    <x v="0"/>
    <n v="250"/>
    <x v="1"/>
    <n v="2"/>
    <n v="0.30705024398286201"/>
    <n v="500"/>
    <n v="346"/>
    <n v="-154"/>
  </r>
  <r>
    <s v="PBOR00448"/>
    <s v="PIZB0003"/>
    <x v="31"/>
    <x v="3"/>
    <x v="1"/>
    <n v="130"/>
    <x v="2"/>
    <n v="6"/>
    <n v="0.85704939563753502"/>
    <n v="780"/>
    <n v="112"/>
    <n v="-668"/>
  </r>
  <r>
    <s v="PBOR00449"/>
    <s v="PIZB0004"/>
    <x v="3"/>
    <x v="0"/>
    <x v="0"/>
    <n v="72"/>
    <x v="0"/>
    <n v="9"/>
    <n v="0.29159802445516297"/>
    <n v="648"/>
    <n v="459"/>
    <n v="-189"/>
  </r>
  <r>
    <s v="PBOR00450"/>
    <s v="PIZB0001"/>
    <x v="25"/>
    <x v="1"/>
    <x v="1"/>
    <n v="65"/>
    <x v="1"/>
    <n v="9"/>
    <n v="0.25894456832851598"/>
    <n v="585"/>
    <n v="434"/>
    <n v="-151"/>
  </r>
  <r>
    <s v="PBOR00451"/>
    <s v="PIZB0002"/>
    <x v="7"/>
    <x v="2"/>
    <x v="0"/>
    <n v="250"/>
    <x v="2"/>
    <n v="2"/>
    <n v="0.29542099486811402"/>
    <n v="500"/>
    <n v="352"/>
    <n v="-148"/>
  </r>
  <r>
    <s v="PBOR00452"/>
    <s v="PIZB0003"/>
    <x v="25"/>
    <x v="3"/>
    <x v="1"/>
    <n v="130"/>
    <x v="0"/>
    <n v="2"/>
    <n v="7.4202009604402999E-2"/>
    <n v="260"/>
    <n v="241"/>
    <n v="-19"/>
  </r>
  <r>
    <s v="PBOR00453"/>
    <s v="PIZB0004"/>
    <x v="32"/>
    <x v="4"/>
    <x v="0"/>
    <n v="60"/>
    <x v="1"/>
    <n v="11"/>
    <n v="3.9067003401354397E-2"/>
    <n v="660"/>
    <n v="634"/>
    <n v="-26"/>
  </r>
  <r>
    <s v="PBOR00454"/>
    <s v="PIZB0005"/>
    <x v="33"/>
    <x v="5"/>
    <x v="1"/>
    <n v="95"/>
    <x v="2"/>
    <n v="4"/>
    <n v="0.76468504660372305"/>
    <n v="380"/>
    <n v="89"/>
    <n v="-291"/>
  </r>
  <r>
    <s v="PBOR00455"/>
    <s v="PIZB0006"/>
    <x v="33"/>
    <x v="0"/>
    <x v="0"/>
    <n v="72"/>
    <x v="0"/>
    <n v="11"/>
    <n v="0.74867480539232101"/>
    <n v="792"/>
    <n v="199"/>
    <n v="-593"/>
  </r>
  <r>
    <s v="PBOR00456"/>
    <s v="PIZB0001"/>
    <x v="22"/>
    <x v="1"/>
    <x v="1"/>
    <n v="65"/>
    <x v="1"/>
    <n v="6"/>
    <n v="0.69300939202757095"/>
    <n v="390"/>
    <n v="120"/>
    <n v="-270"/>
  </r>
  <r>
    <s v="PBOR00457"/>
    <s v="PIZB0002"/>
    <x v="34"/>
    <x v="2"/>
    <x v="0"/>
    <n v="250"/>
    <x v="2"/>
    <n v="1"/>
    <n v="0.52937391222103702"/>
    <n v="250"/>
    <n v="118"/>
    <n v="-132"/>
  </r>
  <r>
    <s v="PBOR00458"/>
    <s v="PIZB0003"/>
    <x v="7"/>
    <x v="3"/>
    <x v="1"/>
    <n v="130"/>
    <x v="0"/>
    <n v="3"/>
    <n v="0.32413514859934101"/>
    <n v="390"/>
    <n v="264"/>
    <n v="-126"/>
  </r>
  <r>
    <s v="PBOR00459"/>
    <s v="PIZB0004"/>
    <x v="3"/>
    <x v="0"/>
    <x v="1"/>
    <n v="72"/>
    <x v="1"/>
    <n v="4"/>
    <n v="0.35907775149399701"/>
    <n v="288"/>
    <n v="185"/>
    <n v="-103"/>
  </r>
  <r>
    <s v="PBOR00460"/>
    <s v="PIZB0001"/>
    <x v="31"/>
    <x v="1"/>
    <x v="1"/>
    <n v="65"/>
    <x v="2"/>
    <n v="6"/>
    <n v="0.65908590258865696"/>
    <n v="390"/>
    <n v="133"/>
    <n v="-257"/>
  </r>
  <r>
    <s v="PBOR00461"/>
    <s v="PIZB0002"/>
    <x v="4"/>
    <x v="2"/>
    <x v="1"/>
    <n v="250"/>
    <x v="0"/>
    <n v="2"/>
    <n v="0.51385178684784005"/>
    <n v="500"/>
    <n v="243"/>
    <n v="-257"/>
  </r>
  <r>
    <s v="PBOR00462"/>
    <s v="PIZB0003"/>
    <x v="34"/>
    <x v="3"/>
    <x v="1"/>
    <n v="130"/>
    <x v="1"/>
    <n v="4"/>
    <n v="0.76665009072072698"/>
    <n v="520"/>
    <n v="121"/>
    <n v="-399"/>
  </r>
  <r>
    <s v="PBOR00463"/>
    <s v="PIZB0004"/>
    <x v="13"/>
    <x v="0"/>
    <x v="0"/>
    <n v="72"/>
    <x v="2"/>
    <n v="5"/>
    <n v="0.73529214203054105"/>
    <n v="360"/>
    <n v="95"/>
    <n v="-265"/>
  </r>
  <r>
    <s v="PBOR00464"/>
    <s v="PIZB0001"/>
    <x v="35"/>
    <x v="1"/>
    <x v="1"/>
    <n v="65"/>
    <x v="0"/>
    <n v="9"/>
    <n v="0.44567996518569503"/>
    <n v="585"/>
    <n v="324"/>
    <n v="-261"/>
  </r>
  <r>
    <s v="PBOR00465"/>
    <s v="PIZB0002"/>
    <x v="2"/>
    <x v="2"/>
    <x v="0"/>
    <n v="250"/>
    <x v="0"/>
    <n v="2"/>
    <n v="0.80491760131950096"/>
    <n v="500"/>
    <n v="98"/>
    <n v="-402"/>
  </r>
  <r>
    <s v="PBOR00466"/>
    <s v="PIZB0003"/>
    <x v="13"/>
    <x v="3"/>
    <x v="1"/>
    <n v="130"/>
    <x v="1"/>
    <n v="4"/>
    <n v="0.63252724233750601"/>
    <n v="520"/>
    <n v="191"/>
    <n v="-329"/>
  </r>
  <r>
    <s v="PBOR00467"/>
    <s v="PIZB0004"/>
    <x v="18"/>
    <x v="0"/>
    <x v="0"/>
    <n v="72"/>
    <x v="2"/>
    <n v="12"/>
    <n v="0.54172415841062704"/>
    <n v="864"/>
    <n v="396"/>
    <n v="-468"/>
  </r>
  <r>
    <s v="PBOR00468"/>
    <s v="PIZB0001"/>
    <x v="23"/>
    <x v="1"/>
    <x v="1"/>
    <n v="65"/>
    <x v="0"/>
    <n v="11"/>
    <n v="0.51449622999670697"/>
    <n v="715"/>
    <n v="347"/>
    <n v="-368"/>
  </r>
  <r>
    <s v="PBOR00469"/>
    <s v="PIZB0002"/>
    <x v="36"/>
    <x v="2"/>
    <x v="0"/>
    <n v="250"/>
    <x v="1"/>
    <n v="2"/>
    <n v="0.237525028475187"/>
    <n v="500"/>
    <n v="381"/>
    <n v="-119"/>
  </r>
  <r>
    <s v="PBOR00470"/>
    <s v="PIZB0003"/>
    <x v="37"/>
    <x v="3"/>
    <x v="1"/>
    <n v="130"/>
    <x v="2"/>
    <n v="4"/>
    <n v="0.99120610081358296"/>
    <n v="520"/>
    <n v="5"/>
    <n v="-515"/>
  </r>
  <r>
    <s v="PBOR00471"/>
    <s v="PIZB0004"/>
    <x v="4"/>
    <x v="4"/>
    <x v="0"/>
    <n v="60"/>
    <x v="0"/>
    <n v="9"/>
    <n v="0.59705890981846599"/>
    <n v="540"/>
    <n v="218"/>
    <n v="-322"/>
  </r>
  <r>
    <s v="PBOR00472"/>
    <s v="PIZB0005"/>
    <x v="3"/>
    <x v="0"/>
    <x v="1"/>
    <n v="72"/>
    <x v="1"/>
    <n v="3"/>
    <n v="0.47137791834027598"/>
    <n v="216"/>
    <n v="114"/>
    <n v="-102"/>
  </r>
  <r>
    <s v="PBOR00473"/>
    <s v="PIZB0001"/>
    <x v="35"/>
    <x v="1"/>
    <x v="0"/>
    <n v="65"/>
    <x v="2"/>
    <n v="14"/>
    <n v="0.41181740780767401"/>
    <n v="910"/>
    <n v="535"/>
    <n v="-375"/>
  </r>
  <r>
    <s v="PBOR00474"/>
    <s v="PIZB0002"/>
    <x v="11"/>
    <x v="2"/>
    <x v="1"/>
    <n v="250"/>
    <x v="0"/>
    <n v="3"/>
    <n v="7.2014892327985205E-2"/>
    <n v="750"/>
    <n v="696"/>
    <n v="-54"/>
  </r>
  <r>
    <s v="PBOR00475"/>
    <s v="PIZB0003"/>
    <x v="10"/>
    <x v="3"/>
    <x v="0"/>
    <n v="130"/>
    <x v="1"/>
    <n v="7"/>
    <n v="0.284252285929809"/>
    <n v="910"/>
    <n v="651"/>
    <n v="-259"/>
  </r>
  <r>
    <s v="PBOR00476"/>
    <s v="PIZB0004"/>
    <x v="1"/>
    <x v="0"/>
    <x v="1"/>
    <n v="72"/>
    <x v="2"/>
    <n v="3"/>
    <n v="0.514736362789603"/>
    <n v="216"/>
    <n v="105"/>
    <n v="-111"/>
  </r>
  <r>
    <s v="PBOR00477"/>
    <s v="PIZB0001"/>
    <x v="17"/>
    <x v="1"/>
    <x v="0"/>
    <n v="65"/>
    <x v="0"/>
    <n v="7"/>
    <n v="0.84360853679959802"/>
    <n v="455"/>
    <n v="71"/>
    <n v="-384"/>
  </r>
  <r>
    <s v="PBOR00478"/>
    <s v="PIZB0002"/>
    <x v="17"/>
    <x v="2"/>
    <x v="1"/>
    <n v="250"/>
    <x v="1"/>
    <n v="3"/>
    <n v="0.79410595242208204"/>
    <n v="750"/>
    <n v="154"/>
    <n v="-596"/>
  </r>
  <r>
    <s v="PBOR00479"/>
    <s v="PIZB0003"/>
    <x v="37"/>
    <x v="3"/>
    <x v="0"/>
    <n v="130"/>
    <x v="2"/>
    <n v="4"/>
    <n v="0.43743103077150802"/>
    <n v="520"/>
    <n v="293"/>
    <n v="-227"/>
  </r>
  <r>
    <s v="PBOR00480"/>
    <s v="PIZB0004"/>
    <x v="4"/>
    <x v="4"/>
    <x v="1"/>
    <n v="60"/>
    <x v="0"/>
    <n v="7"/>
    <n v="0.62414285851347795"/>
    <n v="420"/>
    <n v="158"/>
    <n v="-262"/>
  </r>
  <r>
    <s v="PBOR00481"/>
    <s v="PIZB0005"/>
    <x v="2"/>
    <x v="5"/>
    <x v="1"/>
    <n v="95"/>
    <x v="1"/>
    <n v="4"/>
    <n v="0.88664559134767995"/>
    <n v="380"/>
    <n v="43"/>
    <n v="-337"/>
  </r>
  <r>
    <s v="PBOR00482"/>
    <s v="PIZB0006"/>
    <x v="12"/>
    <x v="0"/>
    <x v="1"/>
    <n v="72"/>
    <x v="2"/>
    <n v="6"/>
    <n v="0.18359273290431599"/>
    <n v="432"/>
    <n v="353"/>
    <n v="-79"/>
  </r>
  <r>
    <s v="PBOR00483"/>
    <s v="PIZB0001"/>
    <x v="0"/>
    <x v="1"/>
    <x v="1"/>
    <n v="65"/>
    <x v="0"/>
    <n v="5"/>
    <n v="0.15906506531321701"/>
    <n v="325"/>
    <n v="273"/>
    <n v="-52"/>
  </r>
  <r>
    <s v="PBOR00484"/>
    <s v="PIZB0002"/>
    <x v="38"/>
    <x v="2"/>
    <x v="1"/>
    <n v="250"/>
    <x v="1"/>
    <n v="2"/>
    <n v="0.29466747014106198"/>
    <n v="500"/>
    <n v="353"/>
    <n v="-147"/>
  </r>
  <r>
    <s v="PBOR00485"/>
    <s v="PIZB0003"/>
    <x v="1"/>
    <x v="3"/>
    <x v="0"/>
    <n v="130"/>
    <x v="2"/>
    <n v="2"/>
    <n v="0.35414118605930101"/>
    <n v="260"/>
    <n v="168"/>
    <n v="-92"/>
  </r>
  <r>
    <s v="PBOR00486"/>
    <s v="PIZB0004"/>
    <x v="2"/>
    <x v="0"/>
    <x v="1"/>
    <n v="72"/>
    <x v="0"/>
    <n v="4"/>
    <n v="0.40463831594750699"/>
    <n v="288"/>
    <n v="171"/>
    <n v="-117"/>
  </r>
  <r>
    <s v="PBOR00487"/>
    <s v="PIZB0001"/>
    <x v="5"/>
    <x v="1"/>
    <x v="0"/>
    <n v="65"/>
    <x v="1"/>
    <n v="10"/>
    <n v="0.56828189926737005"/>
    <n v="650"/>
    <n v="281"/>
    <n v="-369"/>
  </r>
  <r>
    <s v="PBOR00488"/>
    <s v="PIZB0002"/>
    <x v="3"/>
    <x v="2"/>
    <x v="1"/>
    <n v="250"/>
    <x v="2"/>
    <n v="1"/>
    <n v="0.68415839920111299"/>
    <n v="250"/>
    <n v="79"/>
    <n v="-171"/>
  </r>
  <r>
    <s v="PBOR00489"/>
    <s v="PIZB0003"/>
    <x v="36"/>
    <x v="3"/>
    <x v="0"/>
    <n v="130"/>
    <x v="0"/>
    <n v="6"/>
    <n v="0.47900916747418498"/>
    <n v="780"/>
    <n v="406"/>
    <n v="-374"/>
  </r>
  <r>
    <s v="PBOR00490"/>
    <s v="PIZB0004"/>
    <x v="24"/>
    <x v="4"/>
    <x v="1"/>
    <n v="60"/>
    <x v="1"/>
    <n v="4"/>
    <n v="0.89045722746488698"/>
    <n v="240"/>
    <n v="26"/>
    <n v="-214"/>
  </r>
  <r>
    <s v="PBOR00491"/>
    <s v="PIZB0005"/>
    <x v="21"/>
    <x v="0"/>
    <x v="0"/>
    <n v="72"/>
    <x v="2"/>
    <n v="7"/>
    <n v="0.509499718805001"/>
    <n v="504"/>
    <n v="247"/>
    <n v="-257"/>
  </r>
  <r>
    <s v="PBOR00492"/>
    <s v="PIZB0001"/>
    <x v="32"/>
    <x v="1"/>
    <x v="1"/>
    <n v="65"/>
    <x v="0"/>
    <n v="12"/>
    <n v="0.78361211804501996"/>
    <n v="780"/>
    <n v="169"/>
    <n v="-611"/>
  </r>
  <r>
    <s v="PBOR00493"/>
    <s v="PIZB0002"/>
    <x v="4"/>
    <x v="2"/>
    <x v="0"/>
    <n v="250"/>
    <x v="1"/>
    <n v="1"/>
    <n v="6.5969201547905296E-2"/>
    <n v="250"/>
    <n v="234"/>
    <n v="-16"/>
  </r>
  <r>
    <s v="PBOR00494"/>
    <s v="PIZB0003"/>
    <x v="2"/>
    <x v="3"/>
    <x v="1"/>
    <n v="130"/>
    <x v="2"/>
    <n v="6"/>
    <n v="0.17858014910494899"/>
    <n v="780"/>
    <n v="641"/>
    <n v="-139"/>
  </r>
  <r>
    <s v="PBOR00495"/>
    <s v="PIZB0004"/>
    <x v="27"/>
    <x v="0"/>
    <x v="0"/>
    <n v="72"/>
    <x v="0"/>
    <n v="4"/>
    <n v="0.43587855952805299"/>
    <n v="288"/>
    <n v="162"/>
    <n v="-126"/>
  </r>
  <r>
    <s v="PBOR00496"/>
    <s v="PIZB0001"/>
    <x v="0"/>
    <x v="1"/>
    <x v="1"/>
    <n v="65"/>
    <x v="1"/>
    <n v="10"/>
    <n v="0.74040338644493497"/>
    <n v="650"/>
    <n v="169"/>
    <n v="-481"/>
  </r>
  <r>
    <s v="PBOR00497"/>
    <s v="PIZB0002"/>
    <x v="1"/>
    <x v="2"/>
    <x v="0"/>
    <n v="250"/>
    <x v="2"/>
    <n v="4"/>
    <n v="0.541095713457448"/>
    <n v="1000"/>
    <n v="459"/>
    <n v="-541"/>
  </r>
  <r>
    <s v="PBOR00498"/>
    <s v="PIZB0003"/>
    <x v="28"/>
    <x v="3"/>
    <x v="1"/>
    <n v="130"/>
    <x v="0"/>
    <n v="3"/>
    <n v="0.71271172701355101"/>
    <n v="390"/>
    <n v="112"/>
    <n v="-278"/>
  </r>
  <r>
    <s v="PBOR00499"/>
    <s v="PIZB0004"/>
    <x v="8"/>
    <x v="4"/>
    <x v="0"/>
    <n v="60"/>
    <x v="1"/>
    <n v="13"/>
    <n v="0.66248409996473101"/>
    <n v="780"/>
    <n v="263"/>
    <n v="-517"/>
  </r>
  <r>
    <s v="PBOR00500"/>
    <s v="PIZB0005"/>
    <x v="33"/>
    <x v="5"/>
    <x v="1"/>
    <n v="95"/>
    <x v="2"/>
    <n v="4"/>
    <n v="0.51300641040982697"/>
    <n v="380"/>
    <n v="185"/>
    <n v="-195"/>
  </r>
  <r>
    <s v="PBOR00501"/>
    <s v="PIZB0006"/>
    <x v="14"/>
    <x v="0"/>
    <x v="0"/>
    <n v="72"/>
    <x v="0"/>
    <n v="3"/>
    <n v="0.84951124937796896"/>
    <n v="216"/>
    <n v="33"/>
    <n v="-183"/>
  </r>
  <r>
    <s v="PBOR00502"/>
    <s v="PIZB0001"/>
    <x v="16"/>
    <x v="1"/>
    <x v="1"/>
    <n v="65"/>
    <x v="1"/>
    <n v="12"/>
    <n v="0.57786595909251803"/>
    <n v="780"/>
    <n v="329"/>
    <n v="-451"/>
  </r>
  <r>
    <s v="PBOR00503"/>
    <s v="PIZB0002"/>
    <x v="17"/>
    <x v="2"/>
    <x v="1"/>
    <n v="250"/>
    <x v="2"/>
    <n v="4"/>
    <n v="1.9027976654024299E-2"/>
    <n v="1000"/>
    <n v="981"/>
    <n v="-19"/>
  </r>
  <r>
    <s v="PBOR00504"/>
    <s v="PIZB0001"/>
    <x v="39"/>
    <x v="0"/>
    <x v="0"/>
    <n v="72"/>
    <x v="0"/>
    <n v="9"/>
    <n v="0.6506800292487892"/>
    <n v="648"/>
    <n v="226"/>
    <n v="-422"/>
  </r>
  <r>
    <s v="PBOR00505"/>
    <s v="PIZB0002"/>
    <x v="40"/>
    <x v="1"/>
    <x v="1"/>
    <n v="65"/>
    <x v="1"/>
    <n v="11"/>
    <n v="0.52768340695834093"/>
    <n v="715"/>
    <n v="338"/>
    <n v="-377"/>
  </r>
  <r>
    <s v="PBOR00506"/>
    <s v="PIZB0003"/>
    <x v="41"/>
    <x v="2"/>
    <x v="0"/>
    <n v="250"/>
    <x v="2"/>
    <n v="2"/>
    <n v="4.2859899332835516E-2"/>
    <n v="500"/>
    <n v="479"/>
    <n v="-21"/>
  </r>
  <r>
    <s v="PBOR00507"/>
    <s v="PIZB0004"/>
    <x v="42"/>
    <x v="3"/>
    <x v="1"/>
    <n v="130"/>
    <x v="0"/>
    <n v="5"/>
    <n v="0.10576994410680174"/>
    <n v="650"/>
    <n v="581"/>
    <n v="-69"/>
  </r>
  <r>
    <s v="PBOR00508"/>
    <s v="PIZB0001"/>
    <x v="43"/>
    <x v="0"/>
    <x v="0"/>
    <n v="72"/>
    <x v="1"/>
    <n v="8"/>
    <n v="0.29513584291840811"/>
    <n v="576"/>
    <n v="406"/>
    <n v="-170"/>
  </r>
  <r>
    <s v="PBOR00509"/>
    <s v="PIZB0002"/>
    <x v="44"/>
    <x v="1"/>
    <x v="1"/>
    <n v="65"/>
    <x v="2"/>
    <n v="5"/>
    <n v="0.49113433876048895"/>
    <n v="325"/>
    <n v="165"/>
    <n v="-160"/>
  </r>
  <r>
    <s v="PBOR00510"/>
    <s v="PIZB0003"/>
    <x v="45"/>
    <x v="2"/>
    <x v="0"/>
    <n v="250"/>
    <x v="0"/>
    <n v="2"/>
    <n v="9.352624144424404E-2"/>
    <n v="500"/>
    <n v="453"/>
    <n v="-47"/>
  </r>
  <r>
    <s v="PBOR00511"/>
    <s v="PIZB0004"/>
    <x v="46"/>
    <x v="3"/>
    <x v="1"/>
    <n v="130"/>
    <x v="1"/>
    <n v="4"/>
    <n v="0.51308665331516901"/>
    <n v="520"/>
    <n v="253"/>
    <n v="-267"/>
  </r>
  <r>
    <s v="PBOR00512"/>
    <s v="PIZB0005"/>
    <x v="47"/>
    <x v="4"/>
    <x v="0"/>
    <n v="60"/>
    <x v="2"/>
    <n v="12"/>
    <n v="0.31359099884187125"/>
    <n v="720"/>
    <n v="494"/>
    <n v="-226"/>
  </r>
  <r>
    <s v="PBOR00513"/>
    <s v="PIZB0001"/>
    <x v="48"/>
    <x v="0"/>
    <x v="1"/>
    <n v="72"/>
    <x v="0"/>
    <n v="12"/>
    <n v="4.6880700726948277E-2"/>
    <n v="864"/>
    <n v="823"/>
    <n v="-41"/>
  </r>
  <r>
    <s v="PBOR00514"/>
    <s v="PIZB0002"/>
    <x v="32"/>
    <x v="1"/>
    <x v="0"/>
    <n v="65"/>
    <x v="1"/>
    <n v="9"/>
    <n v="0.12587067293866228"/>
    <n v="585"/>
    <n v="511"/>
    <n v="-74"/>
  </r>
  <r>
    <s v="PBOR00515"/>
    <s v="PIZB0003"/>
    <x v="49"/>
    <x v="2"/>
    <x v="1"/>
    <n v="250"/>
    <x v="2"/>
    <n v="3"/>
    <n v="0.83075811048589809"/>
    <n v="750"/>
    <n v="127"/>
    <n v="-623"/>
  </r>
  <r>
    <s v="PBOR00516"/>
    <s v="PIZB0004"/>
    <x v="19"/>
    <x v="3"/>
    <x v="0"/>
    <n v="130"/>
    <x v="0"/>
    <n v="6"/>
    <n v="0.68907753718236076"/>
    <n v="780"/>
    <n v="243"/>
    <n v="-537"/>
  </r>
  <r>
    <s v="PBOR00517"/>
    <s v="PIZB0001"/>
    <x v="50"/>
    <x v="0"/>
    <x v="1"/>
    <n v="72"/>
    <x v="1"/>
    <n v="8"/>
    <n v="0.68677274907667551"/>
    <n v="576"/>
    <n v="180"/>
    <n v="-396"/>
  </r>
  <r>
    <s v="PBOR00518"/>
    <s v="PIZB0002"/>
    <x v="51"/>
    <x v="1"/>
    <x v="0"/>
    <n v="65"/>
    <x v="2"/>
    <n v="4"/>
    <n v="0.85351658325881818"/>
    <n v="260"/>
    <n v="38"/>
    <n v="-222"/>
  </r>
  <r>
    <s v="PBOR00519"/>
    <s v="PIZB0003"/>
    <x v="29"/>
    <x v="2"/>
    <x v="1"/>
    <n v="250"/>
    <x v="0"/>
    <n v="2"/>
    <n v="0.89859520913454671"/>
    <n v="500"/>
    <n v="51"/>
    <n v="-449"/>
  </r>
  <r>
    <s v="PBOR00520"/>
    <s v="PIZB0004"/>
    <x v="52"/>
    <x v="3"/>
    <x v="0"/>
    <n v="130"/>
    <x v="1"/>
    <n v="6"/>
    <n v="0.23733753010333336"/>
    <n v="780"/>
    <n v="595"/>
    <n v="-185"/>
  </r>
  <r>
    <s v="PBOR00521"/>
    <s v="PIZB0005"/>
    <x v="26"/>
    <x v="4"/>
    <x v="0"/>
    <n v="60"/>
    <x v="2"/>
    <n v="15"/>
    <n v="0.69114817902719361"/>
    <n v="900"/>
    <n v="278"/>
    <n v="-622"/>
  </r>
  <r>
    <s v="PBOR00522"/>
    <s v="PIZB0006"/>
    <x v="47"/>
    <x v="5"/>
    <x v="1"/>
    <n v="95"/>
    <x v="0"/>
    <n v="8"/>
    <n v="0.26325352952427272"/>
    <n v="760"/>
    <n v="560"/>
    <n v="-200"/>
  </r>
  <r>
    <s v="PBOR00523"/>
    <s v="PIZB0001"/>
    <x v="46"/>
    <x v="0"/>
    <x v="1"/>
    <n v="72"/>
    <x v="1"/>
    <n v="4"/>
    <n v="0.32837857326934017"/>
    <n v="288"/>
    <n v="193"/>
    <n v="-95"/>
  </r>
  <r>
    <s v="PBOR00524"/>
    <s v="PIZB0002"/>
    <x v="41"/>
    <x v="1"/>
    <x v="1"/>
    <n v="65"/>
    <x v="2"/>
    <n v="3"/>
    <n v="0.13602747798543469"/>
    <n v="195"/>
    <n v="168"/>
    <n v="-27"/>
  </r>
  <r>
    <s v="PBOR00525"/>
    <s v="PIZB0003"/>
    <x v="53"/>
    <x v="2"/>
    <x v="0"/>
    <n v="250"/>
    <x v="0"/>
    <n v="1"/>
    <n v="0.13201812898214771"/>
    <n v="250"/>
    <n v="217"/>
    <n v="-33"/>
  </r>
  <r>
    <s v="PBOR00526"/>
    <s v="PIZB0004"/>
    <x v="54"/>
    <x v="3"/>
    <x v="0"/>
    <n v="130"/>
    <x v="1"/>
    <n v="3"/>
    <n v="0.63889929803444934"/>
    <n v="390"/>
    <n v="141"/>
    <n v="-249"/>
  </r>
  <r>
    <s v="PBOR00527"/>
    <s v="PIZB0001"/>
    <x v="32"/>
    <x v="0"/>
    <x v="0"/>
    <n v="72"/>
    <x v="2"/>
    <n v="6"/>
    <n v="0.71547821946830437"/>
    <n v="432"/>
    <n v="123"/>
    <n v="-309"/>
  </r>
  <r>
    <s v="PBOR00528"/>
    <s v="PIZB0002"/>
    <x v="30"/>
    <x v="1"/>
    <x v="0"/>
    <n v="65"/>
    <x v="0"/>
    <n v="12"/>
    <n v="0.61681141724686539"/>
    <n v="780"/>
    <n v="299"/>
    <n v="-481"/>
  </r>
  <r>
    <s v="PBOR00529"/>
    <s v="PIZB0003"/>
    <x v="55"/>
    <x v="2"/>
    <x v="0"/>
    <n v="250"/>
    <x v="1"/>
    <n v="3"/>
    <n v="0.54819975140756516"/>
    <n v="750"/>
    <n v="339"/>
    <n v="-411"/>
  </r>
  <r>
    <s v="PBOR00530"/>
    <s v="PIZB0004"/>
    <x v="19"/>
    <x v="3"/>
    <x v="0"/>
    <n v="130"/>
    <x v="2"/>
    <n v="5"/>
    <n v="0.42020046586602289"/>
    <n v="650"/>
    <n v="377"/>
    <n v="-273"/>
  </r>
  <r>
    <s v="PBOR00531"/>
    <s v="PIZB0005"/>
    <x v="39"/>
    <x v="4"/>
    <x v="0"/>
    <n v="60"/>
    <x v="0"/>
    <n v="7"/>
    <n v="0.89277029293891497"/>
    <n v="420"/>
    <n v="45"/>
    <n v="-375"/>
  </r>
  <r>
    <s v="PBOR00532"/>
    <s v="PIZB0001"/>
    <x v="33"/>
    <x v="0"/>
    <x v="0"/>
    <n v="72"/>
    <x v="1"/>
    <n v="7"/>
    <n v="0.96912756673291134"/>
    <n v="504"/>
    <n v="16"/>
    <n v="-488"/>
  </r>
  <r>
    <s v="PBOR00533"/>
    <s v="PIZB0002"/>
    <x v="40"/>
    <x v="1"/>
    <x v="0"/>
    <n v="65"/>
    <x v="2"/>
    <n v="12"/>
    <n v="0.52361074976170574"/>
    <n v="780"/>
    <n v="372"/>
    <n v="-408"/>
  </r>
  <r>
    <s v="PBOR00534"/>
    <s v="PIZB0003"/>
    <x v="56"/>
    <x v="2"/>
    <x v="1"/>
    <n v="250"/>
    <x v="0"/>
    <n v="1"/>
    <n v="0.51342958405679406"/>
    <n v="250"/>
    <n v="122"/>
    <n v="-128"/>
  </r>
  <r>
    <s v="PBOR00535"/>
    <s v="PIZB0004"/>
    <x v="57"/>
    <x v="3"/>
    <x v="0"/>
    <n v="130"/>
    <x v="1"/>
    <n v="2"/>
    <n v="0.94282208055715466"/>
    <n v="260"/>
    <n v="15"/>
    <n v="-245"/>
  </r>
  <r>
    <s v="PBOR00536"/>
    <s v="PIZB0001"/>
    <x v="58"/>
    <x v="0"/>
    <x v="0"/>
    <n v="72"/>
    <x v="2"/>
    <n v="7"/>
    <n v="0.5881327680544004"/>
    <n v="504"/>
    <n v="208"/>
    <n v="-296"/>
  </r>
  <r>
    <s v="PBOR00537"/>
    <s v="PIZB0002"/>
    <x v="59"/>
    <x v="1"/>
    <x v="0"/>
    <n v="65"/>
    <x v="0"/>
    <n v="3"/>
    <n v="0.91788414008317942"/>
    <n v="195"/>
    <n v="16"/>
    <n v="-179"/>
  </r>
  <r>
    <s v="PBOR00538"/>
    <s v="PIZB0003"/>
    <x v="58"/>
    <x v="2"/>
    <x v="0"/>
    <n v="250"/>
    <x v="1"/>
    <n v="2"/>
    <n v="0.59052297287172251"/>
    <n v="500"/>
    <n v="205"/>
    <n v="-295"/>
  </r>
  <r>
    <s v="PBOR00539"/>
    <s v="PIZB0004"/>
    <x v="30"/>
    <x v="3"/>
    <x v="0"/>
    <n v="130"/>
    <x v="2"/>
    <n v="3"/>
    <n v="0.1742694904871458"/>
    <n v="390"/>
    <n v="322"/>
    <n v="-68"/>
  </r>
  <r>
    <s v="PBOR00540"/>
    <s v="PIZB0005"/>
    <x v="40"/>
    <x v="4"/>
    <x v="1"/>
    <n v="60"/>
    <x v="0"/>
    <n v="12"/>
    <n v="0.52818057185924205"/>
    <n v="720"/>
    <n v="340"/>
    <n v="-380"/>
  </r>
  <r>
    <s v="PBOR00541"/>
    <s v="PIZB0006"/>
    <x v="57"/>
    <x v="5"/>
    <x v="0"/>
    <n v="95"/>
    <x v="1"/>
    <n v="3"/>
    <n v="0.46109389508392418"/>
    <n v="285"/>
    <n v="154"/>
    <n v="-131"/>
  </r>
  <r>
    <s v="PBOR00542"/>
    <s v="PIZB0001"/>
    <x v="58"/>
    <x v="0"/>
    <x v="0"/>
    <n v="72"/>
    <x v="2"/>
    <n v="6"/>
    <n v="0.14484802564828414"/>
    <n v="432"/>
    <n v="369"/>
    <n v="-63"/>
  </r>
  <r>
    <s v="PBOR00543"/>
    <s v="PIZB0002"/>
    <x v="60"/>
    <x v="1"/>
    <x v="0"/>
    <n v="65"/>
    <x v="0"/>
    <n v="5"/>
    <n v="0.49448623248012025"/>
    <n v="325"/>
    <n v="164"/>
    <n v="-161"/>
  </r>
  <r>
    <s v="PBOR00544"/>
    <s v="PIZB0003"/>
    <x v="61"/>
    <x v="2"/>
    <x v="1"/>
    <n v="250"/>
    <x v="1"/>
    <n v="3"/>
    <n v="0.13480766736332561"/>
    <n v="750"/>
    <n v="649"/>
    <n v="-101"/>
  </r>
  <r>
    <s v="PBOR00545"/>
    <s v="PIZB0004"/>
    <x v="56"/>
    <x v="3"/>
    <x v="1"/>
    <n v="130"/>
    <x v="2"/>
    <n v="5"/>
    <n v="0.92780616194534127"/>
    <n v="650"/>
    <n v="47"/>
    <n v="-603"/>
  </r>
  <r>
    <s v="PBOR00546"/>
    <s v="PIZB0001"/>
    <x v="30"/>
    <x v="0"/>
    <x v="1"/>
    <n v="72"/>
    <x v="0"/>
    <n v="6"/>
    <n v="0.60970311206330652"/>
    <n v="432"/>
    <n v="169"/>
    <n v="-263"/>
  </r>
  <r>
    <s v="PBOR00547"/>
    <s v="PIZB0002"/>
    <x v="43"/>
    <x v="1"/>
    <x v="1"/>
    <n v="65"/>
    <x v="1"/>
    <n v="11"/>
    <n v="5.3790568104109981E-2"/>
    <n v="715"/>
    <n v="677"/>
    <n v="-38"/>
  </r>
  <r>
    <s v="PBOR00548"/>
    <s v="PIZB0003"/>
    <x v="62"/>
    <x v="2"/>
    <x v="1"/>
    <n v="250"/>
    <x v="2"/>
    <n v="1"/>
    <n v="0.11921337686841016"/>
    <n v="250"/>
    <n v="220"/>
    <n v="-30"/>
  </r>
  <r>
    <s v="PBOR00549"/>
    <s v="PIZB0004"/>
    <x v="51"/>
    <x v="3"/>
    <x v="1"/>
    <n v="130"/>
    <x v="0"/>
    <n v="3"/>
    <n v="0.98049816675577173"/>
    <n v="390"/>
    <n v="8"/>
    <n v="-382"/>
  </r>
  <r>
    <s v="PBOR00550"/>
    <s v="PIZB0001"/>
    <x v="63"/>
    <x v="0"/>
    <x v="0"/>
    <n v="72"/>
    <x v="0"/>
    <n v="10"/>
    <n v="0.4313420320026472"/>
    <n v="720"/>
    <n v="409"/>
    <n v="-311"/>
  </r>
  <r>
    <s v="PBOR00551"/>
    <s v="PIZB0002"/>
    <x v="64"/>
    <x v="1"/>
    <x v="1"/>
    <n v="65"/>
    <x v="1"/>
    <n v="6"/>
    <n v="0.14748931003376375"/>
    <n v="390"/>
    <n v="332"/>
    <n v="-58"/>
  </r>
  <r>
    <s v="PBOR00552"/>
    <s v="PIZB0003"/>
    <x v="63"/>
    <x v="2"/>
    <x v="0"/>
    <n v="250"/>
    <x v="2"/>
    <n v="2"/>
    <n v="0.98794231813047384"/>
    <n v="500"/>
    <n v="6"/>
    <n v="-494"/>
  </r>
  <r>
    <s v="PBOR00553"/>
    <s v="PIZB0004"/>
    <x v="61"/>
    <x v="3"/>
    <x v="1"/>
    <n v="130"/>
    <x v="0"/>
    <n v="5"/>
    <n v="0.52688942098194502"/>
    <n v="650"/>
    <n v="308"/>
    <n v="-342"/>
  </r>
  <r>
    <s v="PBOR00554"/>
    <s v="PIZB0001"/>
    <x v="62"/>
    <x v="0"/>
    <x v="0"/>
    <n v="72"/>
    <x v="1"/>
    <n v="9"/>
    <n v="0.56915939913944413"/>
    <n v="648"/>
    <n v="279"/>
    <n v="-369"/>
  </r>
  <r>
    <s v="PBOR00555"/>
    <s v="PIZB0002"/>
    <x v="19"/>
    <x v="1"/>
    <x v="1"/>
    <n v="65"/>
    <x v="2"/>
    <n v="5"/>
    <n v="0.13709772043949153"/>
    <n v="325"/>
    <n v="280"/>
    <n v="-45"/>
  </r>
  <r>
    <s v="PBOR00556"/>
    <s v="PIZB0003"/>
    <x v="62"/>
    <x v="2"/>
    <x v="0"/>
    <n v="250"/>
    <x v="0"/>
    <n v="1"/>
    <n v="0.37492393087714193"/>
    <n v="250"/>
    <n v="156"/>
    <n v="-94"/>
  </r>
  <r>
    <s v="PBOR00557"/>
    <s v="PIZB0004"/>
    <x v="43"/>
    <x v="3"/>
    <x v="1"/>
    <n v="130"/>
    <x v="1"/>
    <n v="3"/>
    <n v="0.97050227964630109"/>
    <n v="390"/>
    <n v="12"/>
    <n v="-378"/>
  </r>
  <r>
    <s v="PBOR00558"/>
    <s v="PIZB0005"/>
    <x v="65"/>
    <x v="4"/>
    <x v="0"/>
    <n v="60"/>
    <x v="2"/>
    <n v="7"/>
    <n v="0.11660606745219371"/>
    <n v="420"/>
    <n v="371"/>
    <n v="-49"/>
  </r>
  <r>
    <s v="PBOR00559"/>
    <s v="PIZB0001"/>
    <x v="57"/>
    <x v="0"/>
    <x v="1"/>
    <n v="72"/>
    <x v="0"/>
    <n v="12"/>
    <n v="0.96315384081759858"/>
    <n v="864"/>
    <n v="32"/>
    <n v="-832"/>
  </r>
  <r>
    <s v="PBOR00560"/>
    <s v="PIZB0002"/>
    <x v="56"/>
    <x v="1"/>
    <x v="0"/>
    <n v="65"/>
    <x v="1"/>
    <n v="12"/>
    <n v="0.74598258683702601"/>
    <n v="780"/>
    <n v="198"/>
    <n v="-582"/>
  </r>
  <r>
    <s v="PBOR00561"/>
    <s v="PIZB0003"/>
    <x v="66"/>
    <x v="2"/>
    <x v="1"/>
    <n v="250"/>
    <x v="2"/>
    <n v="3"/>
    <n v="0.52493879369422469"/>
    <n v="750"/>
    <n v="356"/>
    <n v="-394"/>
  </r>
  <r>
    <s v="PBOR00562"/>
    <s v="PIZB0004"/>
    <x v="37"/>
    <x v="3"/>
    <x v="0"/>
    <n v="130"/>
    <x v="0"/>
    <n v="5"/>
    <n v="7.0906851768732793E-2"/>
    <n v="650"/>
    <n v="604"/>
    <n v="-46"/>
  </r>
  <r>
    <s v="PBOR00563"/>
    <s v="PIZB0001"/>
    <x v="45"/>
    <x v="0"/>
    <x v="1"/>
    <n v="72"/>
    <x v="1"/>
    <n v="4"/>
    <n v="0.20692280563869159"/>
    <n v="288"/>
    <n v="228"/>
    <n v="-60"/>
  </r>
  <r>
    <s v="PBOR00564"/>
    <s v="PIZB0002"/>
    <x v="67"/>
    <x v="1"/>
    <x v="0"/>
    <n v="65"/>
    <x v="2"/>
    <n v="9"/>
    <n v="0.97477947232314166"/>
    <n v="585"/>
    <n v="15"/>
    <n v="-570"/>
  </r>
  <r>
    <s v="PBOR00565"/>
    <s v="PIZB0003"/>
    <x v="43"/>
    <x v="2"/>
    <x v="1"/>
    <n v="250"/>
    <x v="0"/>
    <n v="3"/>
    <n v="0.35146825553047678"/>
    <n v="750"/>
    <n v="486"/>
    <n v="-264"/>
  </r>
  <r>
    <s v="PBOR00566"/>
    <s v="PIZB0004"/>
    <x v="68"/>
    <x v="3"/>
    <x v="0"/>
    <n v="130"/>
    <x v="1"/>
    <n v="5"/>
    <n v="0.4530627290303284"/>
    <n v="650"/>
    <n v="356"/>
    <n v="-294"/>
  </r>
  <r>
    <s v="PBOR00567"/>
    <s v="PIZB0005"/>
    <x v="69"/>
    <x v="4"/>
    <x v="0"/>
    <n v="60"/>
    <x v="2"/>
    <n v="4"/>
    <n v="0.97560654930751933"/>
    <n v="240"/>
    <n v="6"/>
    <n v="-234"/>
  </r>
  <r>
    <s v="PBOR00568"/>
    <s v="PIZB0006"/>
    <x v="52"/>
    <x v="5"/>
    <x v="1"/>
    <n v="95"/>
    <x v="0"/>
    <n v="8"/>
    <n v="0.4648538428560598"/>
    <n v="760"/>
    <n v="407"/>
    <n v="-353"/>
  </r>
  <r>
    <s v="PBOR00569"/>
    <s v="PIZB0001"/>
    <x v="19"/>
    <x v="0"/>
    <x v="1"/>
    <n v="72"/>
    <x v="1"/>
    <n v="9"/>
    <n v="0.72946781779513981"/>
    <n v="648"/>
    <n v="175"/>
    <n v="-473"/>
  </r>
  <r>
    <s v="PBOR00570"/>
    <s v="PIZB0002"/>
    <x v="47"/>
    <x v="1"/>
    <x v="1"/>
    <n v="65"/>
    <x v="2"/>
    <n v="6"/>
    <n v="0.10905076774241673"/>
    <n v="390"/>
    <n v="347"/>
    <n v="-43"/>
  </r>
  <r>
    <s v="PBOR00571"/>
    <s v="PIZB0003"/>
    <x v="70"/>
    <x v="2"/>
    <x v="0"/>
    <n v="250"/>
    <x v="0"/>
    <n v="4"/>
    <n v="0.56796557632721567"/>
    <n v="1000"/>
    <n v="432"/>
    <n v="-568"/>
  </r>
  <r>
    <s v="PBOR00572"/>
    <s v="PIZB0004"/>
    <x v="71"/>
    <x v="3"/>
    <x v="0"/>
    <n v="130"/>
    <x v="1"/>
    <n v="4"/>
    <n v="0.58669064998875053"/>
    <n v="520"/>
    <n v="215"/>
    <n v="-305"/>
  </r>
  <r>
    <s v="PBOR00573"/>
    <s v="PIZB0001"/>
    <x v="58"/>
    <x v="0"/>
    <x v="0"/>
    <n v="72"/>
    <x v="2"/>
    <n v="9"/>
    <n v="0.83579558617337057"/>
    <n v="648"/>
    <n v="106"/>
    <n v="-542"/>
  </r>
  <r>
    <s v="PBOR00574"/>
    <s v="PIZB0002"/>
    <x v="19"/>
    <x v="1"/>
    <x v="0"/>
    <n v="65"/>
    <x v="0"/>
    <n v="8"/>
    <n v="0.92166755201623218"/>
    <n v="520"/>
    <n v="41"/>
    <n v="-479"/>
  </r>
  <r>
    <s v="PBOR00575"/>
    <s v="PIZB0003"/>
    <x v="32"/>
    <x v="2"/>
    <x v="0"/>
    <n v="250"/>
    <x v="1"/>
    <n v="1"/>
    <n v="0.54483110935319623"/>
    <n v="250"/>
    <n v="114"/>
    <n v="-136"/>
  </r>
  <r>
    <s v="PBOR00576"/>
    <s v="PIZB0004"/>
    <x v="60"/>
    <x v="3"/>
    <x v="0"/>
    <n v="130"/>
    <x v="2"/>
    <n v="3"/>
    <n v="0.10123506193543674"/>
    <n v="390"/>
    <n v="351"/>
    <n v="-39"/>
  </r>
  <r>
    <s v="PBOR00577"/>
    <s v="PIZB0005"/>
    <x v="21"/>
    <x v="4"/>
    <x v="0"/>
    <n v="60"/>
    <x v="0"/>
    <n v="13"/>
    <n v="0.12014848723009053"/>
    <n v="780"/>
    <n v="686"/>
    <n v="-94"/>
  </r>
  <r>
    <s v="PBOR00578"/>
    <s v="PIZB0001"/>
    <x v="53"/>
    <x v="0"/>
    <x v="0"/>
    <n v="72"/>
    <x v="1"/>
    <n v="4"/>
    <n v="0.4890140987712891"/>
    <n v="288"/>
    <n v="147"/>
    <n v="-141"/>
  </r>
  <r>
    <s v="PBOR00579"/>
    <s v="PIZB0002"/>
    <x v="72"/>
    <x v="1"/>
    <x v="0"/>
    <n v="65"/>
    <x v="2"/>
    <n v="12"/>
    <n v="0.73995417373012851"/>
    <n v="780"/>
    <n v="203"/>
    <n v="-577"/>
  </r>
  <r>
    <s v="PBOR00580"/>
    <s v="PIZB0003"/>
    <x v="32"/>
    <x v="2"/>
    <x v="1"/>
    <n v="250"/>
    <x v="0"/>
    <n v="3"/>
    <n v="0.77452477223048444"/>
    <n v="750"/>
    <n v="169"/>
    <n v="-581"/>
  </r>
  <r>
    <s v="PBOR00581"/>
    <s v="PIZB0004"/>
    <x v="73"/>
    <x v="3"/>
    <x v="0"/>
    <n v="130"/>
    <x v="1"/>
    <n v="6"/>
    <n v="0.8653218168440171"/>
    <n v="780"/>
    <n v="105"/>
    <n v="-675"/>
  </r>
  <r>
    <s v="PBOR00582"/>
    <s v="PIZB0001"/>
    <x v="74"/>
    <x v="0"/>
    <x v="0"/>
    <n v="72"/>
    <x v="2"/>
    <n v="5"/>
    <n v="0.32943555162349625"/>
    <n v="360"/>
    <n v="241"/>
    <n v="-119"/>
  </r>
  <r>
    <s v="PBOR00583"/>
    <s v="PIZB0002"/>
    <x v="75"/>
    <x v="1"/>
    <x v="0"/>
    <n v="65"/>
    <x v="0"/>
    <n v="11"/>
    <n v="0.36011967803505873"/>
    <n v="715"/>
    <n v="458"/>
    <n v="-257"/>
  </r>
  <r>
    <s v="PBOR00584"/>
    <s v="PIZB0003"/>
    <x v="76"/>
    <x v="2"/>
    <x v="0"/>
    <n v="250"/>
    <x v="1"/>
    <n v="2"/>
    <n v="0.36798156183201891"/>
    <n v="500"/>
    <n v="316"/>
    <n v="-184"/>
  </r>
  <r>
    <s v="PBOR00585"/>
    <s v="PIZB0004"/>
    <x v="61"/>
    <x v="3"/>
    <x v="0"/>
    <n v="130"/>
    <x v="2"/>
    <n v="2"/>
    <n v="0.87431217726248311"/>
    <n v="260"/>
    <n v="33"/>
    <n v="-227"/>
  </r>
  <r>
    <s v="PBOR00586"/>
    <s v="PIZB0005"/>
    <x v="71"/>
    <x v="4"/>
    <x v="1"/>
    <n v="60"/>
    <x v="0"/>
    <n v="10"/>
    <n v="0.40836761806726452"/>
    <n v="600"/>
    <n v="355"/>
    <n v="-245"/>
  </r>
  <r>
    <s v="PBOR00587"/>
    <s v="PIZB0006"/>
    <x v="59"/>
    <x v="5"/>
    <x v="0"/>
    <n v="95"/>
    <x v="1"/>
    <n v="6"/>
    <n v="0.31184007907768607"/>
    <n v="570"/>
    <n v="392"/>
    <n v="-178"/>
  </r>
  <r>
    <s v="PBOR00588"/>
    <s v="PIZB0001"/>
    <x v="77"/>
    <x v="0"/>
    <x v="0"/>
    <n v="72"/>
    <x v="2"/>
    <n v="7"/>
    <n v="0.36312960232112723"/>
    <n v="504"/>
    <n v="321"/>
    <n v="-183"/>
  </r>
  <r>
    <s v="PBOR00589"/>
    <s v="PIZB0002"/>
    <x v="19"/>
    <x v="1"/>
    <x v="0"/>
    <n v="65"/>
    <x v="0"/>
    <n v="8"/>
    <n v="0.73943704941190447"/>
    <n v="520"/>
    <n v="135"/>
    <n v="-385"/>
  </r>
  <r>
    <s v="PBOR00590"/>
    <s v="PIZB0003"/>
    <x v="70"/>
    <x v="2"/>
    <x v="1"/>
    <n v="250"/>
    <x v="1"/>
    <n v="4"/>
    <n v="0.36196387358021498"/>
    <n v="1000"/>
    <n v="638"/>
    <n v="-362"/>
  </r>
  <r>
    <s v="PBOR00591"/>
    <s v="PIZB0004"/>
    <x v="46"/>
    <x v="3"/>
    <x v="1"/>
    <n v="130"/>
    <x v="2"/>
    <n v="6"/>
    <n v="0.61551196719102497"/>
    <n v="780"/>
    <n v="300"/>
    <n v="-480"/>
  </r>
  <r>
    <s v="PBOR00592"/>
    <s v="PIZB0001"/>
    <x v="39"/>
    <x v="0"/>
    <x v="1"/>
    <n v="72"/>
    <x v="0"/>
    <n v="4"/>
    <n v="2.8710557552421689E-2"/>
    <n v="288"/>
    <n v="280"/>
    <n v="-8"/>
  </r>
  <r>
    <s v="PBOR00593"/>
    <s v="PIZB0002"/>
    <x v="39"/>
    <x v="1"/>
    <x v="1"/>
    <n v="65"/>
    <x v="1"/>
    <n v="9"/>
    <n v="0.52726378174460009"/>
    <n v="585"/>
    <n v="277"/>
    <n v="-308"/>
  </r>
  <r>
    <s v="PBOR00594"/>
    <s v="PIZB0003"/>
    <x v="19"/>
    <x v="2"/>
    <x v="1"/>
    <n v="250"/>
    <x v="2"/>
    <n v="1"/>
    <n v="0.65083818423414508"/>
    <n v="250"/>
    <n v="87"/>
    <n v="-163"/>
  </r>
  <r>
    <s v="PBOR00595"/>
    <s v="PIZB0004"/>
    <x v="26"/>
    <x v="3"/>
    <x v="1"/>
    <n v="130"/>
    <x v="0"/>
    <n v="3"/>
    <n v="0.47319132888756454"/>
    <n v="390"/>
    <n v="205"/>
    <n v="-185"/>
  </r>
  <r>
    <s v="PBOR00596"/>
    <s v="PIZB0001"/>
    <x v="51"/>
    <x v="0"/>
    <x v="0"/>
    <n v="72"/>
    <x v="0"/>
    <n v="6"/>
    <n v="0.76052326527890823"/>
    <n v="432"/>
    <n v="103"/>
    <n v="-329"/>
  </r>
  <r>
    <s v="PBOR00597"/>
    <s v="PIZB0002"/>
    <x v="51"/>
    <x v="1"/>
    <x v="1"/>
    <n v="65"/>
    <x v="1"/>
    <n v="13"/>
    <n v="0.89015335447455068"/>
    <n v="845"/>
    <n v="93"/>
    <n v="-752"/>
  </r>
  <r>
    <s v="PBOR00598"/>
    <s v="PIZB0003"/>
    <x v="62"/>
    <x v="2"/>
    <x v="0"/>
    <n v="250"/>
    <x v="2"/>
    <n v="1"/>
    <n v="8.2939286053073769E-2"/>
    <n v="250"/>
    <n v="229"/>
    <n v="-21"/>
  </r>
  <r>
    <s v="PBOR00599"/>
    <s v="PIZB0004"/>
    <x v="54"/>
    <x v="3"/>
    <x v="1"/>
    <n v="130"/>
    <x v="0"/>
    <n v="3"/>
    <n v="0.10847862770172689"/>
    <n v="390"/>
    <n v="348"/>
    <n v="-42"/>
  </r>
  <r>
    <s v="PBOR00600"/>
    <s v="PIZB0001"/>
    <x v="53"/>
    <x v="0"/>
    <x v="0"/>
    <n v="72"/>
    <x v="1"/>
    <n v="6"/>
    <n v="0.48038702766507513"/>
    <n v="432"/>
    <n v="224"/>
    <n v="-208"/>
  </r>
  <r>
    <s v="PBOR00601"/>
    <s v="PIZB0002"/>
    <x v="53"/>
    <x v="1"/>
    <x v="1"/>
    <n v="65"/>
    <x v="2"/>
    <n v="12"/>
    <n v="0.42721166713686565"/>
    <n v="780"/>
    <n v="447"/>
    <n v="-333"/>
  </r>
  <r>
    <s v="PBOR00602"/>
    <s v="PIZB0003"/>
    <x v="67"/>
    <x v="2"/>
    <x v="0"/>
    <n v="250"/>
    <x v="0"/>
    <n v="3"/>
    <n v="0.79226119556786956"/>
    <n v="750"/>
    <n v="156"/>
    <n v="-594"/>
  </r>
  <r>
    <s v="PBOR00603"/>
    <s v="PIZB0004"/>
    <x v="30"/>
    <x v="3"/>
    <x v="1"/>
    <n v="130"/>
    <x v="1"/>
    <n v="4"/>
    <n v="0.10644141983383315"/>
    <n v="520"/>
    <n v="465"/>
    <n v="-55"/>
  </r>
  <r>
    <s v="PBOR00604"/>
    <s v="PIZB0005"/>
    <x v="52"/>
    <x v="4"/>
    <x v="0"/>
    <n v="60"/>
    <x v="2"/>
    <n v="11"/>
    <n v="0.43936417607652711"/>
    <n v="660"/>
    <n v="370"/>
    <n v="-290"/>
  </r>
  <r>
    <s v="PBOR00605"/>
    <s v="PIZB0001"/>
    <x v="66"/>
    <x v="0"/>
    <x v="1"/>
    <n v="72"/>
    <x v="0"/>
    <n v="3"/>
    <n v="0.58776952754500134"/>
    <n v="216"/>
    <n v="89"/>
    <n v="-127"/>
  </r>
  <r>
    <s v="PBOR00606"/>
    <s v="PIZB0002"/>
    <x v="56"/>
    <x v="1"/>
    <x v="0"/>
    <n v="65"/>
    <x v="1"/>
    <n v="8"/>
    <n v="2.2919050392090301E-2"/>
    <n v="520"/>
    <n v="508"/>
    <n v="-12"/>
  </r>
  <r>
    <s v="PBOR00607"/>
    <s v="PIZB0003"/>
    <x v="53"/>
    <x v="2"/>
    <x v="1"/>
    <n v="250"/>
    <x v="2"/>
    <n v="3"/>
    <n v="4.4864266145047793E-2"/>
    <n v="750"/>
    <n v="716"/>
    <n v="-34"/>
  </r>
  <r>
    <s v="PBOR00608"/>
    <s v="PIZB0004"/>
    <x v="61"/>
    <x v="3"/>
    <x v="0"/>
    <n v="130"/>
    <x v="0"/>
    <n v="2"/>
    <n v="0.72921608938820526"/>
    <n v="260"/>
    <n v="70"/>
    <n v="-190"/>
  </r>
  <r>
    <s v="PBOR00609"/>
    <s v="PIZB0001"/>
    <x v="66"/>
    <x v="0"/>
    <x v="1"/>
    <n v="72"/>
    <x v="1"/>
    <n v="12"/>
    <n v="0.304222021355677"/>
    <n v="864"/>
    <n v="601"/>
    <n v="-263"/>
  </r>
  <r>
    <s v="PBOR00610"/>
    <s v="PIZB0002"/>
    <x v="53"/>
    <x v="1"/>
    <x v="0"/>
    <n v="65"/>
    <x v="2"/>
    <n v="13"/>
    <n v="0.19965032248631576"/>
    <n v="845"/>
    <n v="676"/>
    <n v="-169"/>
  </r>
  <r>
    <s v="PBOR00611"/>
    <s v="PIZB0003"/>
    <x v="44"/>
    <x v="2"/>
    <x v="1"/>
    <n v="250"/>
    <x v="0"/>
    <n v="2"/>
    <n v="0.25514711201999152"/>
    <n v="500"/>
    <n v="372"/>
    <n v="-128"/>
  </r>
  <r>
    <s v="PBOR00612"/>
    <s v="PIZB0004"/>
    <x v="78"/>
    <x v="3"/>
    <x v="0"/>
    <n v="130"/>
    <x v="1"/>
    <n v="4"/>
    <n v="0.13541497084569332"/>
    <n v="520"/>
    <n v="450"/>
    <n v="-70"/>
  </r>
  <r>
    <s v="PBOR00613"/>
    <s v="PIZB0005"/>
    <x v="41"/>
    <x v="4"/>
    <x v="0"/>
    <n v="60"/>
    <x v="2"/>
    <n v="4"/>
    <n v="0.52344463739527747"/>
    <n v="240"/>
    <n v="114"/>
    <n v="-126"/>
  </r>
  <r>
    <s v="PBOR00614"/>
    <s v="PIZB0006"/>
    <x v="62"/>
    <x v="5"/>
    <x v="1"/>
    <n v="95"/>
    <x v="0"/>
    <n v="8"/>
    <n v="0.29348103464052511"/>
    <n v="760"/>
    <n v="537"/>
    <n v="-223"/>
  </r>
  <r>
    <s v="PBOR00615"/>
    <s v="PIZB0001"/>
    <x v="72"/>
    <x v="0"/>
    <x v="1"/>
    <n v="72"/>
    <x v="1"/>
    <n v="10"/>
    <n v="0.79509729964259834"/>
    <n v="720"/>
    <n v="148"/>
    <n v="-572"/>
  </r>
  <r>
    <s v="PBOR00616"/>
    <s v="PIZB0002"/>
    <x v="30"/>
    <x v="1"/>
    <x v="1"/>
    <n v="65"/>
    <x v="2"/>
    <n v="7"/>
    <n v="0.36507145942652219"/>
    <n v="455"/>
    <n v="289"/>
    <n v="-166"/>
  </r>
  <r>
    <s v="PBOR00617"/>
    <s v="PIZB0003"/>
    <x v="69"/>
    <x v="2"/>
    <x v="0"/>
    <n v="250"/>
    <x v="0"/>
    <n v="3"/>
    <n v="0.98178032961886952"/>
    <n v="750"/>
    <n v="14"/>
    <n v="-736"/>
  </r>
  <r>
    <s v="PBOR00618"/>
    <s v="PIZB0004"/>
    <x v="71"/>
    <x v="3"/>
    <x v="0"/>
    <n v="130"/>
    <x v="1"/>
    <n v="6"/>
    <n v="0.68563690521582887"/>
    <n v="780"/>
    <n v="245"/>
    <n v="-535"/>
  </r>
  <r>
    <s v="PBOR00619"/>
    <s v="PIZB0001"/>
    <x v="67"/>
    <x v="0"/>
    <x v="0"/>
    <n v="72"/>
    <x v="2"/>
    <n v="7"/>
    <n v="0.93374686126964845"/>
    <n v="504"/>
    <n v="33"/>
    <n v="-471"/>
  </r>
  <r>
    <s v="PBOR00620"/>
    <s v="PIZB0002"/>
    <x v="68"/>
    <x v="1"/>
    <x v="0"/>
    <n v="65"/>
    <x v="0"/>
    <n v="3"/>
    <n v="0.60760560794304075"/>
    <n v="195"/>
    <n v="77"/>
    <n v="-118"/>
  </r>
  <r>
    <s v="PBOR00621"/>
    <s v="PIZB0003"/>
    <x v="48"/>
    <x v="2"/>
    <x v="0"/>
    <n v="250"/>
    <x v="1"/>
    <n v="1"/>
    <n v="0.4621518778710767"/>
    <n v="250"/>
    <n v="134"/>
    <n v="-116"/>
  </r>
  <r>
    <s v="PBOR00622"/>
    <s v="PIZB0004"/>
    <x v="26"/>
    <x v="3"/>
    <x v="0"/>
    <n v="130"/>
    <x v="2"/>
    <n v="5"/>
    <n v="0.8992455351686045"/>
    <n v="650"/>
    <n v="65"/>
    <n v="-585"/>
  </r>
  <r>
    <s v="PBOR00623"/>
    <s v="PIZB0005"/>
    <x v="76"/>
    <x v="4"/>
    <x v="0"/>
    <n v="60"/>
    <x v="0"/>
    <n v="7"/>
    <n v="0.40572360164664723"/>
    <n v="420"/>
    <n v="250"/>
    <n v="-170"/>
  </r>
  <r>
    <s v="PBOR00624"/>
    <s v="PIZB0001"/>
    <x v="45"/>
    <x v="0"/>
    <x v="0"/>
    <n v="72"/>
    <x v="1"/>
    <n v="7"/>
    <n v="0.55296774573338403"/>
    <n v="504"/>
    <n v="225"/>
    <n v="-279"/>
  </r>
  <r>
    <s v="PBOR00625"/>
    <s v="PIZB0002"/>
    <x v="63"/>
    <x v="1"/>
    <x v="0"/>
    <n v="65"/>
    <x v="2"/>
    <n v="11"/>
    <n v="0.26122746557326215"/>
    <n v="715"/>
    <n v="528"/>
    <n v="-187"/>
  </r>
  <r>
    <s v="PBOR00626"/>
    <s v="PIZB0003"/>
    <x v="58"/>
    <x v="2"/>
    <x v="1"/>
    <n v="250"/>
    <x v="0"/>
    <n v="1"/>
    <n v="7.1035188949245542E-2"/>
    <n v="250"/>
    <n v="232"/>
    <n v="-18"/>
  </r>
  <r>
    <s v="PBOR00627"/>
    <s v="PIZB0004"/>
    <x v="62"/>
    <x v="3"/>
    <x v="0"/>
    <n v="130"/>
    <x v="1"/>
    <n v="5"/>
    <n v="0.91636828367530854"/>
    <n v="650"/>
    <n v="54"/>
    <n v="-596"/>
  </r>
  <r>
    <s v="PBOR00628"/>
    <s v="PIZB0001"/>
    <x v="79"/>
    <x v="0"/>
    <x v="0"/>
    <n v="72"/>
    <x v="2"/>
    <n v="11"/>
    <n v="0.82271201439296204"/>
    <n v="792"/>
    <n v="140"/>
    <n v="-652"/>
  </r>
  <r>
    <s v="PBOR00629"/>
    <s v="PIZB0002"/>
    <x v="70"/>
    <x v="1"/>
    <x v="0"/>
    <n v="65"/>
    <x v="0"/>
    <n v="7"/>
    <n v="0.6827666206336569"/>
    <n v="455"/>
    <n v="144"/>
    <n v="-311"/>
  </r>
  <r>
    <s v="PBOR00630"/>
    <s v="PIZB0003"/>
    <x v="64"/>
    <x v="2"/>
    <x v="0"/>
    <n v="250"/>
    <x v="1"/>
    <n v="2"/>
    <n v="0.7296246407451249"/>
    <n v="500"/>
    <n v="135"/>
    <n v="-365"/>
  </r>
  <r>
    <s v="PBOR00631"/>
    <s v="PIZB0004"/>
    <x v="37"/>
    <x v="3"/>
    <x v="0"/>
    <n v="130"/>
    <x v="2"/>
    <n v="3"/>
    <n v="6.1888773854867685E-2"/>
    <n v="390"/>
    <n v="366"/>
    <n v="-24"/>
  </r>
  <r>
    <s v="PBOR00632"/>
    <s v="PIZB0005"/>
    <x v="54"/>
    <x v="4"/>
    <x v="1"/>
    <n v="60"/>
    <x v="0"/>
    <n v="4"/>
    <n v="0.99186960938287694"/>
    <n v="240"/>
    <n v="2"/>
    <n v="-238"/>
  </r>
  <r>
    <s v="PBOR00633"/>
    <s v="PIZB0006"/>
    <x v="40"/>
    <x v="5"/>
    <x v="0"/>
    <n v="95"/>
    <x v="1"/>
    <n v="4"/>
    <n v="0.21171470213979438"/>
    <n v="380"/>
    <n v="300"/>
    <n v="-80"/>
  </r>
  <r>
    <s v="PBOR00634"/>
    <s v="PIZB0001"/>
    <x v="43"/>
    <x v="0"/>
    <x v="0"/>
    <n v="72"/>
    <x v="2"/>
    <n v="8"/>
    <n v="0.18701254719402438"/>
    <n v="576"/>
    <n v="468"/>
    <n v="-108"/>
  </r>
  <r>
    <s v="PBOR00635"/>
    <s v="PIZB0002"/>
    <x v="50"/>
    <x v="1"/>
    <x v="0"/>
    <n v="65"/>
    <x v="0"/>
    <n v="12"/>
    <n v="0.92161485378707442"/>
    <n v="780"/>
    <n v="61"/>
    <n v="-719"/>
  </r>
  <r>
    <s v="PBOR00636"/>
    <s v="PIZB0003"/>
    <x v="21"/>
    <x v="2"/>
    <x v="1"/>
    <n v="250"/>
    <x v="1"/>
    <n v="3"/>
    <n v="0.21080342805113861"/>
    <n v="750"/>
    <n v="592"/>
    <n v="-158"/>
  </r>
  <r>
    <s v="PBOR00637"/>
    <s v="PIZB0004"/>
    <x v="80"/>
    <x v="3"/>
    <x v="1"/>
    <n v="130"/>
    <x v="2"/>
    <n v="2"/>
    <n v="7.4133529940689447E-2"/>
    <n v="260"/>
    <n v="241"/>
    <n v="-19"/>
  </r>
  <r>
    <s v="PBOR00638"/>
    <s v="PIZB0001"/>
    <x v="17"/>
    <x v="0"/>
    <x v="1"/>
    <n v="72"/>
    <x v="0"/>
    <n v="10"/>
    <n v="3.3384496895282556E-2"/>
    <n v="720"/>
    <n v="696"/>
    <n v="-24"/>
  </r>
  <r>
    <s v="PBOR00639"/>
    <s v="PIZB0002"/>
    <x v="48"/>
    <x v="1"/>
    <x v="1"/>
    <n v="65"/>
    <x v="1"/>
    <n v="9"/>
    <n v="0.56754190828786932"/>
    <n v="585"/>
    <n v="253"/>
    <n v="-332"/>
  </r>
  <r>
    <s v="PBOR00640"/>
    <s v="PIZB0003"/>
    <x v="77"/>
    <x v="2"/>
    <x v="1"/>
    <n v="250"/>
    <x v="2"/>
    <n v="2"/>
    <n v="0.17681595214317114"/>
    <n v="500"/>
    <n v="412"/>
    <n v="-88"/>
  </r>
  <r>
    <s v="PBOR00641"/>
    <s v="PIZB0004"/>
    <x v="40"/>
    <x v="3"/>
    <x v="1"/>
    <n v="130"/>
    <x v="0"/>
    <n v="3"/>
    <n v="0.75371146265921707"/>
    <n v="390"/>
    <n v="96"/>
    <n v="-294"/>
  </r>
  <r>
    <s v="PBOR00642"/>
    <s v="PIZB0001"/>
    <x v="46"/>
    <x v="0"/>
    <x v="0"/>
    <n v="72"/>
    <x v="0"/>
    <n v="9"/>
    <n v="0.52292835436302054"/>
    <n v="648"/>
    <n v="309"/>
    <n v="-339"/>
  </r>
  <r>
    <s v="PBOR00643"/>
    <s v="PIZB0002"/>
    <x v="26"/>
    <x v="1"/>
    <x v="1"/>
    <n v="65"/>
    <x v="1"/>
    <n v="6"/>
    <n v="0.11350773142526926"/>
    <n v="390"/>
    <n v="346"/>
    <n v="-44"/>
  </r>
  <r>
    <s v="PBOR00644"/>
    <s v="PIZB0003"/>
    <x v="67"/>
    <x v="2"/>
    <x v="0"/>
    <n v="250"/>
    <x v="2"/>
    <n v="3"/>
    <n v="0.81739628459463332"/>
    <n v="750"/>
    <n v="137"/>
    <n v="-613"/>
  </r>
  <r>
    <s v="PBOR00645"/>
    <s v="PIZB0004"/>
    <x v="29"/>
    <x v="3"/>
    <x v="1"/>
    <n v="130"/>
    <x v="0"/>
    <n v="3"/>
    <n v="0.16932121990846671"/>
    <n v="390"/>
    <n v="324"/>
    <n v="-66"/>
  </r>
  <r>
    <s v="PBOR00646"/>
    <s v="PIZB0001"/>
    <x v="58"/>
    <x v="0"/>
    <x v="0"/>
    <n v="72"/>
    <x v="1"/>
    <n v="11"/>
    <n v="0.24470200541288345"/>
    <n v="792"/>
    <n v="598"/>
    <n v="-194"/>
  </r>
  <r>
    <s v="PBOR00647"/>
    <s v="PIZB0002"/>
    <x v="48"/>
    <x v="1"/>
    <x v="1"/>
    <n v="65"/>
    <x v="2"/>
    <n v="13"/>
    <n v="0.92724588669274344"/>
    <n v="845"/>
    <n v="61"/>
    <n v="-784"/>
  </r>
  <r>
    <s v="PBOR00648"/>
    <s v="PIZB0003"/>
    <x v="44"/>
    <x v="2"/>
    <x v="0"/>
    <n v="250"/>
    <x v="0"/>
    <n v="3"/>
    <n v="0.24887039346233275"/>
    <n v="750"/>
    <n v="563"/>
    <n v="-187"/>
  </r>
  <r>
    <s v="PBOR00649"/>
    <s v="PIZB0004"/>
    <x v="81"/>
    <x v="3"/>
    <x v="1"/>
    <n v="130"/>
    <x v="1"/>
    <n v="3"/>
    <n v="0.57418693772906459"/>
    <n v="390"/>
    <n v="166"/>
    <n v="-224"/>
  </r>
  <r>
    <s v="PBOR00650"/>
    <s v="PIZB0005"/>
    <x v="71"/>
    <x v="4"/>
    <x v="0"/>
    <n v="60"/>
    <x v="2"/>
    <n v="6"/>
    <n v="0.78806028988590582"/>
    <n v="360"/>
    <n v="76"/>
    <n v="-284"/>
  </r>
  <r>
    <s v="PBOR00651"/>
    <s v="PIZB0001"/>
    <x v="70"/>
    <x v="0"/>
    <x v="1"/>
    <n v="72"/>
    <x v="0"/>
    <n v="6"/>
    <n v="0.45560653213078184"/>
    <n v="432"/>
    <n v="235"/>
    <n v="-197"/>
  </r>
  <r>
    <s v="PBOR00652"/>
    <s v="PIZB0002"/>
    <x v="70"/>
    <x v="1"/>
    <x v="0"/>
    <n v="65"/>
    <x v="1"/>
    <n v="5"/>
    <n v="0.206807518194981"/>
    <n v="325"/>
    <n v="258"/>
    <n v="-67"/>
  </r>
  <r>
    <s v="PBOR00653"/>
    <s v="PIZB0003"/>
    <x v="73"/>
    <x v="2"/>
    <x v="1"/>
    <n v="250"/>
    <x v="2"/>
    <n v="3"/>
    <n v="0.35128422368436074"/>
    <n v="750"/>
    <n v="487"/>
    <n v="-263"/>
  </r>
  <r>
    <s v="PBOR00654"/>
    <s v="PIZB0004"/>
    <x v="81"/>
    <x v="3"/>
    <x v="0"/>
    <n v="130"/>
    <x v="0"/>
    <n v="6"/>
    <n v="3.4764237636826234E-3"/>
    <n v="780"/>
    <n v="777"/>
    <n v="-3"/>
  </r>
  <r>
    <s v="PBOR00655"/>
    <s v="PIZB0001"/>
    <x v="29"/>
    <x v="0"/>
    <x v="1"/>
    <n v="72"/>
    <x v="1"/>
    <n v="5"/>
    <n v="0.99406840240068206"/>
    <n v="360"/>
    <n v="2"/>
    <n v="-358"/>
  </r>
  <r>
    <s v="PBOR00656"/>
    <s v="PIZB0002"/>
    <x v="43"/>
    <x v="1"/>
    <x v="0"/>
    <n v="65"/>
    <x v="2"/>
    <n v="10"/>
    <n v="0.23973891441215078"/>
    <n v="650"/>
    <n v="494"/>
    <n v="-156"/>
  </r>
  <r>
    <s v="PBOR00657"/>
    <s v="PIZB0003"/>
    <x v="40"/>
    <x v="2"/>
    <x v="1"/>
    <n v="250"/>
    <x v="0"/>
    <n v="2"/>
    <n v="6.9245176086321747E-2"/>
    <n v="500"/>
    <n v="465"/>
    <n v="-35"/>
  </r>
  <r>
    <s v="PBOR00658"/>
    <s v="PIZB0004"/>
    <x v="78"/>
    <x v="3"/>
    <x v="0"/>
    <n v="130"/>
    <x v="1"/>
    <n v="2"/>
    <n v="0.29516126380139684"/>
    <n v="260"/>
    <n v="183"/>
    <n v="-77"/>
  </r>
  <r>
    <s v="PBOR00659"/>
    <s v="PIZB0005"/>
    <x v="43"/>
    <x v="4"/>
    <x v="0"/>
    <n v="60"/>
    <x v="2"/>
    <n v="10"/>
    <n v="0.81821977268878876"/>
    <n v="600"/>
    <n v="109"/>
    <n v="-491"/>
  </r>
  <r>
    <s v="PBOR00660"/>
    <s v="PIZB0006"/>
    <x v="48"/>
    <x v="5"/>
    <x v="1"/>
    <n v="95"/>
    <x v="0"/>
    <n v="3"/>
    <n v="0.77144476795397332"/>
    <n v="285"/>
    <n v="65"/>
    <n v="-220"/>
  </r>
  <r>
    <s v="PBOR00661"/>
    <s v="PIZB0001"/>
    <x v="42"/>
    <x v="0"/>
    <x v="1"/>
    <n v="72"/>
    <x v="1"/>
    <n v="6"/>
    <n v="0.79562450244974547"/>
    <n v="432"/>
    <n v="88"/>
    <n v="-344"/>
  </r>
  <r>
    <s v="PBOR00662"/>
    <s v="PIZB0002"/>
    <x v="59"/>
    <x v="1"/>
    <x v="1"/>
    <n v="65"/>
    <x v="2"/>
    <n v="8"/>
    <n v="0.20230019931352305"/>
    <n v="520"/>
    <n v="415"/>
    <n v="-105"/>
  </r>
  <r>
    <s v="PBOR00663"/>
    <s v="PIZB0003"/>
    <x v="61"/>
    <x v="2"/>
    <x v="0"/>
    <n v="250"/>
    <x v="0"/>
    <n v="2"/>
    <n v="0.647855876880579"/>
    <n v="500"/>
    <n v="176"/>
    <n v="-324"/>
  </r>
  <r>
    <s v="PBOR00664"/>
    <s v="PIZB0004"/>
    <x v="77"/>
    <x v="3"/>
    <x v="0"/>
    <n v="130"/>
    <x v="1"/>
    <n v="2"/>
    <n v="0.53493524542791038"/>
    <n v="260"/>
    <n v="121"/>
    <n v="-139"/>
  </r>
  <r>
    <s v="PBOR00665"/>
    <s v="PIZB0001"/>
    <x v="69"/>
    <x v="0"/>
    <x v="0"/>
    <n v="72"/>
    <x v="2"/>
    <n v="9"/>
    <n v="0.70023910888017094"/>
    <n v="648"/>
    <n v="194"/>
    <n v="-454"/>
  </r>
  <r>
    <s v="PBOR00666"/>
    <s v="PIZB0002"/>
    <x v="19"/>
    <x v="1"/>
    <x v="0"/>
    <n v="65"/>
    <x v="0"/>
    <n v="4"/>
    <n v="0.76195817115409936"/>
    <n v="260"/>
    <n v="62"/>
    <n v="-198"/>
  </r>
  <r>
    <s v="PBOR00667"/>
    <s v="PIZB0003"/>
    <x v="46"/>
    <x v="2"/>
    <x v="0"/>
    <n v="250"/>
    <x v="1"/>
    <n v="1"/>
    <n v="0.38247817312587751"/>
    <n v="250"/>
    <n v="154"/>
    <n v="-96"/>
  </r>
  <r>
    <s v="PBOR00668"/>
    <s v="PIZB0004"/>
    <x v="69"/>
    <x v="3"/>
    <x v="0"/>
    <n v="130"/>
    <x v="2"/>
    <n v="5"/>
    <n v="0.23566492542139272"/>
    <n v="650"/>
    <n v="497"/>
    <n v="-153"/>
  </r>
  <r>
    <s v="PBOR00669"/>
    <s v="PIZB0005"/>
    <x v="54"/>
    <x v="4"/>
    <x v="0"/>
    <n v="60"/>
    <x v="0"/>
    <n v="12"/>
    <n v="0.98963289020354783"/>
    <n v="720"/>
    <n v="7"/>
    <n v="-713"/>
  </r>
  <r>
    <s v="PBOR00670"/>
    <s v="PIZB0001"/>
    <x v="71"/>
    <x v="0"/>
    <x v="0"/>
    <n v="72"/>
    <x v="1"/>
    <n v="6"/>
    <n v="0.98629959073968543"/>
    <n v="432"/>
    <n v="6"/>
    <n v="-426"/>
  </r>
  <r>
    <s v="PBOR00671"/>
    <s v="PIZB0002"/>
    <x v="48"/>
    <x v="1"/>
    <x v="0"/>
    <n v="65"/>
    <x v="2"/>
    <n v="6"/>
    <n v="0.21938869780527692"/>
    <n v="390"/>
    <n v="304"/>
    <n v="-86"/>
  </r>
  <r>
    <s v="PBOR00672"/>
    <s v="PIZB0003"/>
    <x v="37"/>
    <x v="2"/>
    <x v="1"/>
    <n v="250"/>
    <x v="0"/>
    <n v="2"/>
    <n v="0.5834032652353236"/>
    <n v="500"/>
    <n v="208"/>
    <n v="-292"/>
  </r>
  <r>
    <s v="PBOR00673"/>
    <s v="PIZB0004"/>
    <x v="49"/>
    <x v="3"/>
    <x v="0"/>
    <n v="130"/>
    <x v="1"/>
    <n v="4"/>
    <n v="0.55989637401558412"/>
    <n v="520"/>
    <n v="229"/>
    <n v="-291"/>
  </r>
  <r>
    <s v="PBOR00674"/>
    <s v="PIZB0001"/>
    <x v="50"/>
    <x v="0"/>
    <x v="0"/>
    <n v="72"/>
    <x v="2"/>
    <n v="10"/>
    <n v="0.17957886405604884"/>
    <n v="720"/>
    <n v="591"/>
    <n v="-129"/>
  </r>
  <r>
    <s v="PBOR00675"/>
    <s v="PIZB0002"/>
    <x v="67"/>
    <x v="1"/>
    <x v="0"/>
    <n v="65"/>
    <x v="0"/>
    <n v="8"/>
    <n v="0.80292160694654879"/>
    <n v="520"/>
    <n v="102"/>
    <n v="-418"/>
  </r>
  <r>
    <s v="PBOR00676"/>
    <s v="PIZB0003"/>
    <x v="68"/>
    <x v="2"/>
    <x v="0"/>
    <n v="250"/>
    <x v="1"/>
    <n v="2"/>
    <n v="0.61569374569241453"/>
    <n v="500"/>
    <n v="192"/>
    <n v="-308"/>
  </r>
  <r>
    <s v="PBOR00677"/>
    <s v="PIZB0004"/>
    <x v="68"/>
    <x v="3"/>
    <x v="0"/>
    <n v="130"/>
    <x v="2"/>
    <n v="2"/>
    <n v="0.12156375841606404"/>
    <n v="260"/>
    <n v="228"/>
    <n v="-32"/>
  </r>
  <r>
    <s v="PBOR00678"/>
    <s v="PIZB0005"/>
    <x v="47"/>
    <x v="4"/>
    <x v="1"/>
    <n v="60"/>
    <x v="0"/>
    <n v="14"/>
    <n v="0.75920160151334148"/>
    <n v="840"/>
    <n v="202"/>
    <n v="-638"/>
  </r>
  <r>
    <s v="PBOR00679"/>
    <s v="PIZB0006"/>
    <x v="69"/>
    <x v="5"/>
    <x v="0"/>
    <n v="95"/>
    <x v="1"/>
    <n v="3"/>
    <n v="0.71332697411875112"/>
    <n v="285"/>
    <n v="82"/>
    <n v="-203"/>
  </r>
  <r>
    <s v="PBOR00680"/>
    <s v="PIZB0001"/>
    <x v="77"/>
    <x v="0"/>
    <x v="0"/>
    <n v="72"/>
    <x v="2"/>
    <n v="6"/>
    <n v="1.8955061468399648E-2"/>
    <n v="432"/>
    <n v="424"/>
    <n v="-8"/>
  </r>
  <r>
    <s v="PBOR00681"/>
    <s v="PIZB0002"/>
    <x v="41"/>
    <x v="1"/>
    <x v="0"/>
    <n v="65"/>
    <x v="0"/>
    <n v="12"/>
    <n v="0.45252307505656153"/>
    <n v="780"/>
    <n v="427"/>
    <n v="-353"/>
  </r>
  <r>
    <s v="PBOR00682"/>
    <s v="PIZB0003"/>
    <x v="69"/>
    <x v="2"/>
    <x v="1"/>
    <n v="250"/>
    <x v="1"/>
    <n v="2"/>
    <n v="0.97896331751480825"/>
    <n v="500"/>
    <n v="11"/>
    <n v="-489"/>
  </r>
  <r>
    <s v="PBOR00683"/>
    <s v="PIZB0004"/>
    <x v="63"/>
    <x v="3"/>
    <x v="1"/>
    <n v="130"/>
    <x v="2"/>
    <n v="2"/>
    <n v="0.20495694175407897"/>
    <n v="260"/>
    <n v="207"/>
    <n v="-53"/>
  </r>
  <r>
    <s v="PBOR00684"/>
    <s v="PIZB0001"/>
    <x v="41"/>
    <x v="0"/>
    <x v="1"/>
    <n v="72"/>
    <x v="0"/>
    <n v="8"/>
    <n v="6.3621114299484915E-2"/>
    <n v="576"/>
    <n v="539"/>
    <n v="-37"/>
  </r>
  <r>
    <s v="PBOR00685"/>
    <s v="PIZB0002"/>
    <x v="45"/>
    <x v="1"/>
    <x v="1"/>
    <n v="65"/>
    <x v="1"/>
    <n v="10"/>
    <n v="0.2747327872007288"/>
    <n v="650"/>
    <n v="471"/>
    <n v="-179"/>
  </r>
  <r>
    <s v="PBOR00686"/>
    <s v="PIZB0003"/>
    <x v="57"/>
    <x v="2"/>
    <x v="1"/>
    <n v="250"/>
    <x v="2"/>
    <n v="3"/>
    <n v="0.39092598098516418"/>
    <n v="750"/>
    <n v="457"/>
    <n v="-293"/>
  </r>
  <r>
    <s v="PBOR00687"/>
    <s v="PIZB0004"/>
    <x v="64"/>
    <x v="3"/>
    <x v="1"/>
    <n v="130"/>
    <x v="0"/>
    <n v="7"/>
    <n v="0.17383009843156283"/>
    <n v="910"/>
    <n v="752"/>
    <n v="-158"/>
  </r>
  <r>
    <s v="PBOR00688"/>
    <s v="PIZB0001"/>
    <x v="33"/>
    <x v="0"/>
    <x v="0"/>
    <n v="72"/>
    <x v="0"/>
    <n v="10"/>
    <n v="0.34874772538026289"/>
    <n v="720"/>
    <n v="469"/>
    <n v="-251"/>
  </r>
  <r>
    <s v="PBOR00689"/>
    <s v="PIZB0002"/>
    <x v="40"/>
    <x v="1"/>
    <x v="1"/>
    <n v="65"/>
    <x v="1"/>
    <n v="13"/>
    <n v="2.2387605969451108E-2"/>
    <n v="845"/>
    <n v="826"/>
    <n v="-19"/>
  </r>
  <r>
    <s v="PBOR00690"/>
    <s v="PIZB0003"/>
    <x v="70"/>
    <x v="2"/>
    <x v="0"/>
    <n v="250"/>
    <x v="2"/>
    <n v="1"/>
    <n v="0.91788375529203248"/>
    <n v="250"/>
    <n v="21"/>
    <n v="-229"/>
  </r>
  <r>
    <s v="PBOR00691"/>
    <s v="PIZB0004"/>
    <x v="55"/>
    <x v="3"/>
    <x v="1"/>
    <n v="130"/>
    <x v="0"/>
    <n v="2"/>
    <n v="0.33199038370419653"/>
    <n v="260"/>
    <n v="174"/>
    <n v="-86"/>
  </r>
  <r>
    <s v="PBOR00692"/>
    <s v="PIZB0001"/>
    <x v="48"/>
    <x v="0"/>
    <x v="0"/>
    <n v="72"/>
    <x v="1"/>
    <n v="10"/>
    <n v="0.5262576326442846"/>
    <n v="720"/>
    <n v="341"/>
    <n v="-379"/>
  </r>
  <r>
    <s v="PBOR00693"/>
    <s v="PIZB0002"/>
    <x v="78"/>
    <x v="1"/>
    <x v="1"/>
    <n v="65"/>
    <x v="2"/>
    <n v="4"/>
    <n v="0.83357376957497364"/>
    <n v="260"/>
    <n v="43"/>
    <n v="-217"/>
  </r>
  <r>
    <s v="PBOR00694"/>
    <s v="PIZB0003"/>
    <x v="65"/>
    <x v="2"/>
    <x v="0"/>
    <n v="250"/>
    <x v="0"/>
    <n v="3"/>
    <n v="2.75672175434023E-2"/>
    <n v="750"/>
    <n v="729"/>
    <n v="-21"/>
  </r>
  <r>
    <s v="PBOR00695"/>
    <s v="PIZB0004"/>
    <x v="80"/>
    <x v="3"/>
    <x v="1"/>
    <n v="130"/>
    <x v="1"/>
    <n v="4"/>
    <n v="0.66746594016423932"/>
    <n v="520"/>
    <n v="173"/>
    <n v="-347"/>
  </r>
  <r>
    <s v="PBOR00696"/>
    <s v="PIZB0005"/>
    <x v="42"/>
    <x v="4"/>
    <x v="0"/>
    <n v="60"/>
    <x v="2"/>
    <n v="13"/>
    <n v="9.3264719801240847E-2"/>
    <n v="780"/>
    <n v="707"/>
    <n v="-73"/>
  </r>
  <r>
    <s v="PBOR00697"/>
    <s v="PIZB0001"/>
    <x v="21"/>
    <x v="0"/>
    <x v="1"/>
    <n v="72"/>
    <x v="0"/>
    <n v="3"/>
    <n v="0.62552692973545387"/>
    <n v="216"/>
    <n v="81"/>
    <n v="-135"/>
  </r>
  <r>
    <s v="PBOR00698"/>
    <s v="PIZB0002"/>
    <x v="30"/>
    <x v="1"/>
    <x v="0"/>
    <n v="65"/>
    <x v="1"/>
    <n v="9"/>
    <n v="0.53246863605152372"/>
    <n v="585"/>
    <n v="274"/>
    <n v="-311"/>
  </r>
  <r>
    <s v="PBOR00699"/>
    <s v="PIZB0003"/>
    <x v="17"/>
    <x v="2"/>
    <x v="1"/>
    <n v="250"/>
    <x v="2"/>
    <n v="3"/>
    <n v="0.63589404281983908"/>
    <n v="750"/>
    <n v="273"/>
    <n v="-477"/>
  </r>
  <r>
    <s v="PBOR00700"/>
    <s v="PIZB0004"/>
    <x v="48"/>
    <x v="3"/>
    <x v="0"/>
    <n v="130"/>
    <x v="0"/>
    <n v="5"/>
    <n v="0.31784912442529234"/>
    <n v="650"/>
    <n v="443"/>
    <n v="-207"/>
  </r>
  <r>
    <s v="PBOR00701"/>
    <s v="PIZB0001"/>
    <x v="17"/>
    <x v="0"/>
    <x v="1"/>
    <n v="72"/>
    <x v="1"/>
    <n v="9"/>
    <n v="0.7299077872230666"/>
    <n v="648"/>
    <n v="175"/>
    <n v="-473"/>
  </r>
  <r>
    <s v="PBOR00702"/>
    <s v="PIZB0002"/>
    <x v="75"/>
    <x v="1"/>
    <x v="0"/>
    <n v="65"/>
    <x v="2"/>
    <n v="7"/>
    <n v="0.53258251204698004"/>
    <n v="455"/>
    <n v="213"/>
    <n v="-242"/>
  </r>
  <r>
    <s v="PBOR00703"/>
    <s v="PIZB0003"/>
    <x v="44"/>
    <x v="2"/>
    <x v="1"/>
    <n v="250"/>
    <x v="0"/>
    <n v="2"/>
    <n v="0.42356274384589632"/>
    <n v="500"/>
    <n v="288"/>
    <n v="-212"/>
  </r>
  <r>
    <s v="PBOR00704"/>
    <s v="PIZB0004"/>
    <x v="41"/>
    <x v="3"/>
    <x v="0"/>
    <n v="130"/>
    <x v="1"/>
    <n v="7"/>
    <n v="2.6003096031782524E-2"/>
    <n v="910"/>
    <n v="886"/>
    <n v="-24"/>
  </r>
  <r>
    <s v="PBOR00705"/>
    <s v="PIZB0005"/>
    <x v="37"/>
    <x v="4"/>
    <x v="0"/>
    <n v="60"/>
    <x v="2"/>
    <n v="8"/>
    <n v="0.67003378744063868"/>
    <n v="480"/>
    <n v="158"/>
    <n v="-322"/>
  </r>
  <r>
    <s v="PBOR00706"/>
    <s v="PIZB0006"/>
    <x v="65"/>
    <x v="5"/>
    <x v="1"/>
    <n v="95"/>
    <x v="0"/>
    <n v="2"/>
    <n v="0.54837898573837507"/>
    <n v="190"/>
    <n v="86"/>
    <n v="-104"/>
  </r>
  <r>
    <s v="PBOR00707"/>
    <s v="PIZB0001"/>
    <x v="40"/>
    <x v="0"/>
    <x v="1"/>
    <n v="72"/>
    <x v="1"/>
    <n v="5"/>
    <n v="0.54638430689176476"/>
    <n v="360"/>
    <n v="163"/>
    <n v="-197"/>
  </r>
  <r>
    <s v="PBOR00708"/>
    <s v="PIZB0002"/>
    <x v="26"/>
    <x v="1"/>
    <x v="1"/>
    <n v="65"/>
    <x v="2"/>
    <n v="13"/>
    <n v="0.59866787389246368"/>
    <n v="845"/>
    <n v="339"/>
    <n v="-506"/>
  </r>
  <r>
    <s v="PBOR00709"/>
    <s v="PIZB0003"/>
    <x v="46"/>
    <x v="2"/>
    <x v="0"/>
    <n v="250"/>
    <x v="0"/>
    <n v="3"/>
    <n v="1.2950345817562492E-2"/>
    <n v="750"/>
    <n v="740"/>
    <n v="-10"/>
  </r>
  <r>
    <s v="PBOR00710"/>
    <s v="PIZB0004"/>
    <x v="82"/>
    <x v="3"/>
    <x v="0"/>
    <n v="130"/>
    <x v="1"/>
    <n v="2"/>
    <n v="0.97158297304715913"/>
    <n v="260"/>
    <n v="7"/>
    <n v="-253"/>
  </r>
  <r>
    <s v="PBOR00711"/>
    <s v="PIZB0001"/>
    <x v="56"/>
    <x v="0"/>
    <x v="0"/>
    <n v="72"/>
    <x v="2"/>
    <n v="5"/>
    <n v="0.45879544791985361"/>
    <n v="360"/>
    <n v="195"/>
    <n v="-165"/>
  </r>
  <r>
    <s v="PBOR00712"/>
    <s v="PIZB0002"/>
    <x v="62"/>
    <x v="1"/>
    <x v="0"/>
    <n v="65"/>
    <x v="0"/>
    <n v="6"/>
    <n v="0.90096041560783779"/>
    <n v="390"/>
    <n v="39"/>
    <n v="-351"/>
  </r>
  <r>
    <s v="PBOR00713"/>
    <s v="PIZB0003"/>
    <x v="74"/>
    <x v="2"/>
    <x v="0"/>
    <n v="250"/>
    <x v="1"/>
    <n v="1"/>
    <n v="0.41382229621078181"/>
    <n v="250"/>
    <n v="147"/>
    <n v="-103"/>
  </r>
  <r>
    <s v="PBOR00714"/>
    <s v="PIZB0004"/>
    <x v="26"/>
    <x v="3"/>
    <x v="0"/>
    <n v="130"/>
    <x v="2"/>
    <n v="4"/>
    <n v="0.50235201069433266"/>
    <n v="520"/>
    <n v="259"/>
    <n v="-261"/>
  </r>
  <r>
    <s v="PBOR00715"/>
    <s v="PIZB0005"/>
    <x v="43"/>
    <x v="4"/>
    <x v="0"/>
    <n v="60"/>
    <x v="0"/>
    <n v="7"/>
    <n v="0.26251466606601204"/>
    <n v="420"/>
    <n v="310"/>
    <n v="-110"/>
  </r>
  <r>
    <s v="PBOR00716"/>
    <s v="PIZB0001"/>
    <x v="57"/>
    <x v="0"/>
    <x v="0"/>
    <n v="72"/>
    <x v="1"/>
    <n v="6"/>
    <n v="0.18613723687579109"/>
    <n v="432"/>
    <n v="352"/>
    <n v="-80"/>
  </r>
  <r>
    <s v="PBOR00717"/>
    <s v="PIZB0002"/>
    <x v="40"/>
    <x v="1"/>
    <x v="0"/>
    <n v="65"/>
    <x v="2"/>
    <n v="11"/>
    <n v="0.27998738964431957"/>
    <n v="715"/>
    <n v="515"/>
    <n v="-200"/>
  </r>
  <r>
    <s v="PBOR00718"/>
    <s v="PIZB0003"/>
    <x v="32"/>
    <x v="2"/>
    <x v="1"/>
    <n v="250"/>
    <x v="0"/>
    <n v="1"/>
    <n v="0.7712010845147752"/>
    <n v="250"/>
    <n v="57"/>
    <n v="-193"/>
  </r>
  <r>
    <s v="PBOR00719"/>
    <s v="PIZB0004"/>
    <x v="33"/>
    <x v="3"/>
    <x v="0"/>
    <n v="130"/>
    <x v="1"/>
    <n v="2"/>
    <n v="0.88314666741467518"/>
    <n v="260"/>
    <n v="30"/>
    <n v="-230"/>
  </r>
  <r>
    <s v="PBOR00720"/>
    <s v="PIZB0001"/>
    <x v="49"/>
    <x v="0"/>
    <x v="0"/>
    <n v="72"/>
    <x v="2"/>
    <n v="12"/>
    <n v="0.92353554905663859"/>
    <n v="864"/>
    <n v="66"/>
    <n v="-798"/>
  </r>
  <r>
    <s v="PBOR00721"/>
    <s v="PIZB0002"/>
    <x v="33"/>
    <x v="1"/>
    <x v="0"/>
    <n v="65"/>
    <x v="0"/>
    <n v="9"/>
    <n v="0.78662507482464794"/>
    <n v="585"/>
    <n v="125"/>
    <n v="-460"/>
  </r>
  <r>
    <s v="PBOR00722"/>
    <s v="PIZB0003"/>
    <x v="79"/>
    <x v="2"/>
    <x v="0"/>
    <n v="250"/>
    <x v="1"/>
    <n v="2"/>
    <n v="7.3717151922182977E-2"/>
    <n v="500"/>
    <n v="463"/>
    <n v="-37"/>
  </r>
  <r>
    <s v="PBOR00723"/>
    <s v="PIZB0004"/>
    <x v="82"/>
    <x v="3"/>
    <x v="0"/>
    <n v="130"/>
    <x v="2"/>
    <n v="2"/>
    <n v="0.69882272394463063"/>
    <n v="260"/>
    <n v="78"/>
    <n v="-182"/>
  </r>
  <r>
    <s v="PBOR00724"/>
    <s v="PIZB0005"/>
    <x v="42"/>
    <x v="4"/>
    <x v="1"/>
    <n v="60"/>
    <x v="0"/>
    <n v="12"/>
    <n v="0.96891523175030059"/>
    <n v="720"/>
    <n v="22"/>
    <n v="-698"/>
  </r>
  <r>
    <s v="PBOR00725"/>
    <s v="PIZB0006"/>
    <x v="58"/>
    <x v="5"/>
    <x v="0"/>
    <n v="95"/>
    <x v="1"/>
    <n v="5"/>
    <n v="8.5792073034069327E-2"/>
    <n v="475"/>
    <n v="434"/>
    <n v="-41"/>
  </r>
  <r>
    <s v="PBOR00726"/>
    <s v="PIZB0001"/>
    <x v="63"/>
    <x v="0"/>
    <x v="0"/>
    <n v="72"/>
    <x v="2"/>
    <n v="8"/>
    <n v="0.38189037299031536"/>
    <n v="576"/>
    <n v="356"/>
    <n v="-220"/>
  </r>
  <r>
    <s v="PBOR00727"/>
    <s v="PIZB0002"/>
    <x v="72"/>
    <x v="1"/>
    <x v="0"/>
    <n v="65"/>
    <x v="0"/>
    <n v="4"/>
    <n v="0.68805030214173835"/>
    <n v="260"/>
    <n v="81"/>
    <n v="-179"/>
  </r>
  <r>
    <s v="PBOR00728"/>
    <s v="PIZB0003"/>
    <x v="79"/>
    <x v="2"/>
    <x v="1"/>
    <n v="250"/>
    <x v="1"/>
    <n v="2"/>
    <n v="0.52323797085856749"/>
    <n v="500"/>
    <n v="238"/>
    <n v="-262"/>
  </r>
  <r>
    <s v="PBOR00729"/>
    <s v="PIZB0004"/>
    <x v="17"/>
    <x v="3"/>
    <x v="1"/>
    <n v="130"/>
    <x v="2"/>
    <n v="4"/>
    <n v="0.5689851351885028"/>
    <n v="520"/>
    <n v="224"/>
    <n v="-296"/>
  </r>
  <r>
    <s v="PBOR00730"/>
    <s v="PIZB0001"/>
    <x v="52"/>
    <x v="0"/>
    <x v="1"/>
    <n v="72"/>
    <x v="0"/>
    <n v="5"/>
    <n v="0.66857780428300995"/>
    <n v="360"/>
    <n v="119"/>
    <n v="-241"/>
  </r>
  <r>
    <s v="PBOR00731"/>
    <s v="PIZB0002"/>
    <x v="74"/>
    <x v="1"/>
    <x v="1"/>
    <n v="65"/>
    <x v="1"/>
    <n v="10"/>
    <n v="0.24994908562743212"/>
    <n v="650"/>
    <n v="488"/>
    <n v="-162"/>
  </r>
  <r>
    <s v="PBOR00732"/>
    <s v="PIZB0003"/>
    <x v="75"/>
    <x v="2"/>
    <x v="1"/>
    <n v="250"/>
    <x v="2"/>
    <n v="2"/>
    <n v="2.513547648898995E-2"/>
    <n v="500"/>
    <n v="487"/>
    <n v="-13"/>
  </r>
  <r>
    <s v="PBOR00733"/>
    <s v="PIZB0004"/>
    <x v="57"/>
    <x v="3"/>
    <x v="1"/>
    <n v="130"/>
    <x v="0"/>
    <n v="3"/>
    <n v="0.18987472503740976"/>
    <n v="390"/>
    <n v="316"/>
    <n v="-74"/>
  </r>
  <r>
    <s v="PBOR00734"/>
    <s v="PIZB0001"/>
    <x v="38"/>
    <x v="0"/>
    <x v="1"/>
    <n v="72"/>
    <x v="0"/>
    <n v="9"/>
    <n v="0.62249500442807382"/>
    <n v="648"/>
    <n v="245"/>
    <n v="-403"/>
  </r>
  <r>
    <s v="PBOR00735"/>
    <s v="PIZB0002"/>
    <x v="53"/>
    <x v="1"/>
    <x v="0"/>
    <n v="65"/>
    <x v="1"/>
    <n v="11"/>
    <n v="0.29790027941098973"/>
    <n v="715"/>
    <n v="502"/>
    <n v="-213"/>
  </r>
  <r>
    <s v="PBOR00736"/>
    <s v="PIZB0003"/>
    <x v="78"/>
    <x v="2"/>
    <x v="0"/>
    <n v="250"/>
    <x v="2"/>
    <n v="1"/>
    <n v="0.80377391351277239"/>
    <n v="250"/>
    <n v="49"/>
    <n v="-201"/>
  </r>
  <r>
    <s v="PBOR00737"/>
    <s v="PIZB0004"/>
    <x v="82"/>
    <x v="3"/>
    <x v="0"/>
    <n v="130"/>
    <x v="0"/>
    <n v="5"/>
    <n v="0.81060688010578685"/>
    <n v="650"/>
    <n v="123"/>
    <n v="-527"/>
  </r>
  <r>
    <s v="PBOR00738"/>
    <s v="PIZB0001"/>
    <x v="61"/>
    <x v="0"/>
    <x v="1"/>
    <n v="72"/>
    <x v="1"/>
    <n v="11"/>
    <n v="0.79241889943159838"/>
    <n v="792"/>
    <n v="164"/>
    <n v="-628"/>
  </r>
  <r>
    <s v="PBOR00739"/>
    <s v="PIZB0002"/>
    <x v="21"/>
    <x v="1"/>
    <x v="1"/>
    <n v="65"/>
    <x v="2"/>
    <n v="10"/>
    <n v="0.96460654407660829"/>
    <n v="650"/>
    <n v="23"/>
    <n v="-627"/>
  </r>
  <r>
    <s v="PBOR00740"/>
    <s v="PIZB0003"/>
    <x v="32"/>
    <x v="2"/>
    <x v="1"/>
    <n v="250"/>
    <x v="0"/>
    <n v="2"/>
    <n v="0.99426849440030207"/>
    <n v="500"/>
    <n v="3"/>
    <n v="-497"/>
  </r>
  <r>
    <s v="PBOR00741"/>
    <s v="PIZB0004"/>
    <x v="54"/>
    <x v="3"/>
    <x v="1"/>
    <n v="130"/>
    <x v="1"/>
    <n v="4"/>
    <n v="0.10913268116324304"/>
    <n v="520"/>
    <n v="463"/>
    <n v="-57"/>
  </r>
  <r>
    <s v="PBOR00742"/>
    <s v="PIZB0005"/>
    <x v="70"/>
    <x v="4"/>
    <x v="1"/>
    <n v="60"/>
    <x v="2"/>
    <n v="4"/>
    <n v="0.30234382873090582"/>
    <n v="240"/>
    <n v="167"/>
    <n v="-73"/>
  </r>
  <r>
    <s v="PBOR00743"/>
    <s v="PIZB0001"/>
    <x v="30"/>
    <x v="0"/>
    <x v="1"/>
    <n v="72"/>
    <x v="0"/>
    <n v="12"/>
    <n v="0.36280179129441104"/>
    <n v="864"/>
    <n v="551"/>
    <n v="-313"/>
  </r>
  <r>
    <s v="PBOR00744"/>
    <s v="PIZB0002"/>
    <x v="71"/>
    <x v="1"/>
    <x v="1"/>
    <n v="65"/>
    <x v="1"/>
    <n v="5"/>
    <n v="0.7516730435236908"/>
    <n v="325"/>
    <n v="81"/>
    <n v="-244"/>
  </r>
  <r>
    <s v="PBOR00745"/>
    <s v="PIZB0003"/>
    <x v="82"/>
    <x v="2"/>
    <x v="0"/>
    <n v="250"/>
    <x v="2"/>
    <n v="3"/>
    <n v="0.56132935072099577"/>
    <n v="750"/>
    <n v="329"/>
    <n v="-421"/>
  </r>
  <r>
    <s v="PBOR00746"/>
    <s v="PIZB0004"/>
    <x v="67"/>
    <x v="3"/>
    <x v="0"/>
    <n v="130"/>
    <x v="0"/>
    <n v="2"/>
    <n v="0.16345738103680973"/>
    <n v="260"/>
    <n v="218"/>
    <n v="-42"/>
  </r>
  <r>
    <s v="PBOR00747"/>
    <s v="PIZB0001"/>
    <x v="43"/>
    <x v="0"/>
    <x v="0"/>
    <n v="72"/>
    <x v="1"/>
    <n v="7"/>
    <n v="0.99562613955711288"/>
    <n v="504"/>
    <n v="2"/>
    <n v="-502"/>
  </r>
  <r>
    <s v="PBOR00748"/>
    <s v="PIZB0002"/>
    <x v="52"/>
    <x v="1"/>
    <x v="1"/>
    <n v="65"/>
    <x v="2"/>
    <n v="12"/>
    <n v="0.71265943208499671"/>
    <n v="780"/>
    <n v="224"/>
    <n v="-556"/>
  </r>
  <r>
    <s v="PBOR00749"/>
    <s v="PIZB0003"/>
    <x v="41"/>
    <x v="2"/>
    <x v="1"/>
    <n v="250"/>
    <x v="0"/>
    <n v="3"/>
    <n v="0.43784419919784456"/>
    <n v="750"/>
    <n v="422"/>
    <n v="-328"/>
  </r>
  <r>
    <s v="PBOR00750"/>
    <s v="PIZB0004"/>
    <x v="63"/>
    <x v="3"/>
    <x v="1"/>
    <n v="130"/>
    <x v="1"/>
    <n v="4"/>
    <n v="0.15415183768465379"/>
    <n v="520"/>
    <n v="440"/>
    <n v="-80"/>
  </r>
  <r>
    <s v="PBOR00751"/>
    <s v="PIZB0005"/>
    <x v="63"/>
    <x v="4"/>
    <x v="1"/>
    <n v="60"/>
    <x v="2"/>
    <n v="8"/>
    <n v="8.6683582253696656E-2"/>
    <n v="480"/>
    <n v="438"/>
    <n v="-42"/>
  </r>
  <r>
    <s v="PBOR00752"/>
    <s v="PIZB0006"/>
    <x v="74"/>
    <x v="5"/>
    <x v="1"/>
    <n v="95"/>
    <x v="0"/>
    <n v="3"/>
    <n v="0.36343716083303812"/>
    <n v="285"/>
    <n v="181"/>
    <n v="-104"/>
  </r>
  <r>
    <s v="PBOR00753"/>
    <s v="PIZB0001"/>
    <x v="80"/>
    <x v="0"/>
    <x v="1"/>
    <n v="72"/>
    <x v="1"/>
    <n v="8"/>
    <n v="0.16459001257303019"/>
    <n v="576"/>
    <n v="481"/>
    <n v="-95"/>
  </r>
  <r>
    <s v="PBOR00754"/>
    <s v="PIZB0002"/>
    <x v="37"/>
    <x v="1"/>
    <x v="1"/>
    <n v="65"/>
    <x v="2"/>
    <n v="12"/>
    <n v="0.8442442310403997"/>
    <n v="780"/>
    <n v="121"/>
    <n v="-659"/>
  </r>
  <r>
    <s v="PBOR00755"/>
    <s v="PIZB0003"/>
    <x v="58"/>
    <x v="2"/>
    <x v="0"/>
    <n v="250"/>
    <x v="0"/>
    <n v="3"/>
    <n v="0.39231178455649629"/>
    <n v="750"/>
    <n v="456"/>
    <n v="-294"/>
  </r>
  <r>
    <s v="PBOR00756"/>
    <s v="PIZB0004"/>
    <x v="67"/>
    <x v="3"/>
    <x v="0"/>
    <n v="130"/>
    <x v="1"/>
    <n v="4"/>
    <n v="0.51042004785853112"/>
    <n v="520"/>
    <n v="255"/>
    <n v="-265"/>
  </r>
  <r>
    <s v="PBOR00757"/>
    <s v="PIZB0001"/>
    <x v="45"/>
    <x v="0"/>
    <x v="0"/>
    <n v="72"/>
    <x v="2"/>
    <n v="11"/>
    <n v="0.3156912915147948"/>
    <n v="792"/>
    <n v="542"/>
    <n v="-250"/>
  </r>
  <r>
    <s v="PBOR00758"/>
    <s v="PIZB0002"/>
    <x v="77"/>
    <x v="1"/>
    <x v="1"/>
    <n v="65"/>
    <x v="0"/>
    <n v="9"/>
    <n v="0.33928335809937915"/>
    <n v="585"/>
    <n v="387"/>
    <n v="-198"/>
  </r>
  <r>
    <s v="PBOR00759"/>
    <s v="PIZB0003"/>
    <x v="39"/>
    <x v="2"/>
    <x v="1"/>
    <n v="250"/>
    <x v="1"/>
    <n v="3"/>
    <n v="0.31066399672180245"/>
    <n v="750"/>
    <n v="517"/>
    <n v="-233"/>
  </r>
  <r>
    <s v="PBOR00760"/>
    <s v="PIZB0004"/>
    <x v="17"/>
    <x v="3"/>
    <x v="1"/>
    <n v="130"/>
    <x v="2"/>
    <n v="3"/>
    <n v="0.56442402877404341"/>
    <n v="390"/>
    <n v="170"/>
    <n v="-220"/>
  </r>
  <r>
    <s v="PBOR00761"/>
    <s v="PIZB0005"/>
    <x v="74"/>
    <x v="4"/>
    <x v="1"/>
    <n v="60"/>
    <x v="0"/>
    <n v="13"/>
    <n v="0.15352532738466518"/>
    <n v="780"/>
    <n v="660"/>
    <n v="-120"/>
  </r>
  <r>
    <s v="PBOR00762"/>
    <s v="PIZB0001"/>
    <x v="26"/>
    <x v="0"/>
    <x v="1"/>
    <n v="72"/>
    <x v="1"/>
    <n v="12"/>
    <n v="0.62925070666455285"/>
    <n v="864"/>
    <n v="320"/>
    <n v="-544"/>
  </r>
  <r>
    <s v="PBOR00763"/>
    <s v="PIZB0002"/>
    <x v="48"/>
    <x v="1"/>
    <x v="1"/>
    <n v="65"/>
    <x v="2"/>
    <n v="5"/>
    <n v="0.78473821766593932"/>
    <n v="325"/>
    <n v="70"/>
    <n v="-255"/>
  </r>
  <r>
    <s v="PBOR00764"/>
    <s v="PIZB0003"/>
    <x v="58"/>
    <x v="2"/>
    <x v="0"/>
    <n v="250"/>
    <x v="0"/>
    <n v="3"/>
    <n v="0.19084322547482857"/>
    <n v="750"/>
    <n v="607"/>
    <n v="-143"/>
  </r>
  <r>
    <s v="PBOR00765"/>
    <s v="PIZB0004"/>
    <x v="74"/>
    <x v="3"/>
    <x v="1"/>
    <n v="130"/>
    <x v="1"/>
    <n v="5"/>
    <n v="0.36797100575940123"/>
    <n v="650"/>
    <n v="411"/>
    <n v="-239"/>
  </r>
  <r>
    <s v="PBOR00766"/>
    <s v="PIZB0001"/>
    <x v="50"/>
    <x v="0"/>
    <x v="0"/>
    <n v="72"/>
    <x v="2"/>
    <n v="8"/>
    <n v="0.92408390024605902"/>
    <n v="576"/>
    <n v="44"/>
    <n v="-532"/>
  </r>
  <r>
    <s v="PBOR00767"/>
    <s v="PIZB0002"/>
    <x v="49"/>
    <x v="1"/>
    <x v="1"/>
    <n v="65"/>
    <x v="0"/>
    <n v="4"/>
    <n v="0.25557243969043453"/>
    <n v="260"/>
    <n v="194"/>
    <n v="-66"/>
  </r>
  <r>
    <s v="PBOR00768"/>
    <s v="PIZB0003"/>
    <x v="46"/>
    <x v="2"/>
    <x v="0"/>
    <n v="250"/>
    <x v="1"/>
    <n v="3"/>
    <n v="6.7496678894541584E-2"/>
    <n v="750"/>
    <n v="699"/>
    <n v="-51"/>
  </r>
  <r>
    <s v="PBOR00769"/>
    <s v="PIZB0004"/>
    <x v="38"/>
    <x v="3"/>
    <x v="1"/>
    <n v="130"/>
    <x v="2"/>
    <n v="7"/>
    <n v="0.12352623303815014"/>
    <n v="910"/>
    <n v="798"/>
    <n v="-112"/>
  </r>
  <r>
    <s v="PBOR00770"/>
    <s v="PIZB0005"/>
    <x v="80"/>
    <x v="4"/>
    <x v="0"/>
    <n v="60"/>
    <x v="0"/>
    <n v="7"/>
    <n v="0.25166544189041973"/>
    <n v="420"/>
    <n v="314"/>
    <n v="-106"/>
  </r>
  <r>
    <s v="PBOR00771"/>
    <s v="PIZB0006"/>
    <x v="42"/>
    <x v="5"/>
    <x v="1"/>
    <n v="95"/>
    <x v="1"/>
    <n v="7"/>
    <n v="0.97618054016921196"/>
    <n v="665"/>
    <n v="16"/>
    <n v="-649"/>
  </r>
  <r>
    <s v="PBOR00772"/>
    <s v="PIZB0001"/>
    <x v="79"/>
    <x v="0"/>
    <x v="0"/>
    <n v="72"/>
    <x v="2"/>
    <n v="5"/>
    <n v="0.68902008529263781"/>
    <n v="360"/>
    <n v="112"/>
    <n v="-248"/>
  </r>
  <r>
    <s v="PBOR00773"/>
    <s v="PIZB0002"/>
    <x v="46"/>
    <x v="1"/>
    <x v="1"/>
    <n v="65"/>
    <x v="0"/>
    <n v="6"/>
    <n v="0.69663188396288322"/>
    <n v="390"/>
    <n v="118"/>
    <n v="-272"/>
  </r>
  <r>
    <s v="PBOR00774"/>
    <s v="PIZB0003"/>
    <x v="42"/>
    <x v="2"/>
    <x v="0"/>
    <n v="250"/>
    <x v="1"/>
    <n v="2"/>
    <n v="0.51404882282161268"/>
    <n v="500"/>
    <n v="243"/>
    <n v="-257"/>
  </r>
  <r>
    <s v="PBOR00775"/>
    <s v="PIZB0004"/>
    <x v="47"/>
    <x v="3"/>
    <x v="1"/>
    <n v="130"/>
    <x v="2"/>
    <n v="2"/>
    <n v="0.12612807470627352"/>
    <n v="260"/>
    <n v="227"/>
    <n v="-33"/>
  </r>
  <r>
    <s v="PBOR00776"/>
    <s v="PIZB0001"/>
    <x v="47"/>
    <x v="0"/>
    <x v="0"/>
    <n v="72"/>
    <x v="0"/>
    <n v="4"/>
    <n v="0.58534736909103435"/>
    <n v="288"/>
    <n v="119"/>
    <n v="-169"/>
  </r>
  <r>
    <s v="PBOR00777"/>
    <s v="PIZB0002"/>
    <x v="19"/>
    <x v="1"/>
    <x v="1"/>
    <n v="65"/>
    <x v="1"/>
    <n v="10"/>
    <n v="0.34974737597784777"/>
    <n v="650"/>
    <n v="423"/>
    <n v="-227"/>
  </r>
  <r>
    <s v="PBOR00778"/>
    <s v="PIZB0003"/>
    <x v="80"/>
    <x v="2"/>
    <x v="0"/>
    <n v="250"/>
    <x v="2"/>
    <n v="1"/>
    <n v="0.60795330558439464"/>
    <n v="250"/>
    <n v="98"/>
    <n v="-152"/>
  </r>
  <r>
    <s v="PBOR00779"/>
    <s v="PIZB0004"/>
    <x v="54"/>
    <x v="0"/>
    <x v="1"/>
    <n v="72"/>
    <x v="0"/>
    <n v="12"/>
    <n v="0.57991878412735987"/>
    <n v="864"/>
    <n v="363"/>
    <n v="-501"/>
  </r>
  <r>
    <s v="PBOR00780"/>
    <s v="PIZB0001"/>
    <x v="43"/>
    <x v="1"/>
    <x v="0"/>
    <n v="65"/>
    <x v="0"/>
    <n v="11"/>
    <n v="4.3589533434389205E-2"/>
    <n v="715"/>
    <n v="684"/>
    <n v="-31"/>
  </r>
  <r>
    <s v="PBOR00781"/>
    <s v="PIZB0002"/>
    <x v="81"/>
    <x v="2"/>
    <x v="1"/>
    <n v="250"/>
    <x v="1"/>
    <n v="2"/>
    <n v="0.80273660564419225"/>
    <n v="500"/>
    <n v="99"/>
    <n v="-401"/>
  </r>
  <r>
    <s v="PBOR00782"/>
    <s v="PIZB0003"/>
    <x v="48"/>
    <x v="3"/>
    <x v="1"/>
    <n v="130"/>
    <x v="2"/>
    <n v="7"/>
    <n v="0.22242204719902137"/>
    <n v="910"/>
    <n v="708"/>
    <n v="-202"/>
  </r>
  <r>
    <s v="PBOR00783"/>
    <s v="PIZB0004"/>
    <x v="37"/>
    <x v="0"/>
    <x v="1"/>
    <n v="72"/>
    <x v="0"/>
    <n v="6"/>
    <n v="0.92032314135005155"/>
    <n v="432"/>
    <n v="34"/>
    <n v="-398"/>
  </r>
  <r>
    <s v="PBOR00784"/>
    <s v="PIZB0001"/>
    <x v="66"/>
    <x v="1"/>
    <x v="1"/>
    <n v="65"/>
    <x v="1"/>
    <n v="4"/>
    <n v="0.13488754116358925"/>
    <n v="260"/>
    <n v="225"/>
    <n v="-35"/>
  </r>
  <r>
    <s v="PBOR00785"/>
    <s v="PIZB0002"/>
    <x v="63"/>
    <x v="2"/>
    <x v="1"/>
    <n v="250"/>
    <x v="2"/>
    <n v="2"/>
    <n v="0.72602956725909751"/>
    <n v="500"/>
    <n v="137"/>
    <n v="-363"/>
  </r>
  <r>
    <s v="PBOR00786"/>
    <s v="PIZB0003"/>
    <x v="39"/>
    <x v="3"/>
    <x v="0"/>
    <n v="130"/>
    <x v="0"/>
    <n v="4"/>
    <n v="0.71242568362983061"/>
    <n v="520"/>
    <n v="150"/>
    <n v="-370"/>
  </r>
  <r>
    <s v="PBOR00787"/>
    <s v="PIZB0004"/>
    <x v="42"/>
    <x v="4"/>
    <x v="1"/>
    <n v="60"/>
    <x v="1"/>
    <n v="8"/>
    <n v="0.29758171405183342"/>
    <n v="480"/>
    <n v="337"/>
    <n v="-143"/>
  </r>
  <r>
    <s v="PBOR00788"/>
    <s v="PIZB0005"/>
    <x v="30"/>
    <x v="0"/>
    <x v="0"/>
    <n v="72"/>
    <x v="2"/>
    <n v="4"/>
    <n v="0.51839527795666762"/>
    <n v="288"/>
    <n v="139"/>
    <n v="-149"/>
  </r>
  <r>
    <s v="PBOR00789"/>
    <s v="PIZB0001"/>
    <x v="66"/>
    <x v="1"/>
    <x v="1"/>
    <n v="65"/>
    <x v="0"/>
    <n v="5"/>
    <n v="0.77656944134541317"/>
    <n v="325"/>
    <n v="73"/>
    <n v="-252"/>
  </r>
  <r>
    <s v="PBOR00790"/>
    <s v="PIZB0002"/>
    <x v="42"/>
    <x v="2"/>
    <x v="0"/>
    <n v="250"/>
    <x v="1"/>
    <n v="3"/>
    <n v="0.31863514194207132"/>
    <n v="750"/>
    <n v="511"/>
    <n v="-239"/>
  </r>
  <r>
    <s v="PBOR00791"/>
    <s v="PIZB0003"/>
    <x v="83"/>
    <x v="3"/>
    <x v="1"/>
    <n v="130"/>
    <x v="2"/>
    <n v="4"/>
    <n v="0.46566330087441732"/>
    <n v="520"/>
    <n v="278"/>
    <n v="-242"/>
  </r>
  <r>
    <s v="PBOR00792"/>
    <s v="PIZB0004"/>
    <x v="79"/>
    <x v="0"/>
    <x v="0"/>
    <n v="72"/>
    <x v="0"/>
    <n v="5"/>
    <n v="0.77573600848509017"/>
    <n v="360"/>
    <n v="81"/>
    <n v="-279"/>
  </r>
  <r>
    <s v="PBOR00793"/>
    <s v="PIZB0001"/>
    <x v="70"/>
    <x v="1"/>
    <x v="1"/>
    <n v="65"/>
    <x v="1"/>
    <n v="7"/>
    <n v="0.47994392841076117"/>
    <n v="455"/>
    <n v="237"/>
    <n v="-218"/>
  </r>
  <r>
    <s v="PBOR00794"/>
    <s v="PIZB0002"/>
    <x v="55"/>
    <x v="2"/>
    <x v="0"/>
    <n v="250"/>
    <x v="2"/>
    <n v="1"/>
    <n v="0.15507251703991565"/>
    <n v="250"/>
    <n v="211"/>
    <n v="-39"/>
  </r>
  <r>
    <s v="PBOR00795"/>
    <s v="PIZB0003"/>
    <x v="51"/>
    <x v="3"/>
    <x v="1"/>
    <n v="130"/>
    <x v="0"/>
    <n v="6"/>
    <n v="0.83804628267385917"/>
    <n v="780"/>
    <n v="126"/>
    <n v="-654"/>
  </r>
  <r>
    <s v="PBOR00796"/>
    <s v="PIZB0004"/>
    <x v="77"/>
    <x v="4"/>
    <x v="0"/>
    <n v="60"/>
    <x v="1"/>
    <n v="13"/>
    <n v="0.95816835551310109"/>
    <n v="780"/>
    <n v="33"/>
    <n v="-747"/>
  </r>
  <r>
    <s v="PBOR00797"/>
    <s v="PIZB0005"/>
    <x v="30"/>
    <x v="5"/>
    <x v="1"/>
    <n v="95"/>
    <x v="2"/>
    <n v="6"/>
    <n v="0.60332010736474895"/>
    <n v="570"/>
    <n v="226"/>
    <n v="-344"/>
  </r>
  <r>
    <s v="PBOR00798"/>
    <s v="PIZB0006"/>
    <x v="70"/>
    <x v="0"/>
    <x v="0"/>
    <n v="72"/>
    <x v="0"/>
    <n v="12"/>
    <n v="0.28594348899950961"/>
    <n v="864"/>
    <n v="617"/>
    <n v="-2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3"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
  <location ref="E4:E5" firstHeaderRow="1" firstDataRow="1" firstDataCol="0"/>
  <pivotFields count="12">
    <pivotField compact="0" showAll="0"/>
    <pivotField compact="0" showAll="0"/>
    <pivotField compact="0" numFmtId="15" showAll="0"/>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dataField="1" compact="0" showAll="0"/>
    <pivotField compact="0" showAll="0"/>
  </pivotFields>
  <rowItems count="1">
    <i/>
  </rowItems>
  <colItems count="1">
    <i/>
  </colItems>
  <dataFields count="1">
    <dataField name="Average of Revenue after discount" fld="10" subtotal="average" baseField="0" baseItem="0" numFmtId="166"/>
  </dataFields>
  <formats count="2">
    <format dxfId="327">
      <pivotArea type="all" dataOnly="0" outline="0" fieldPosition="0"/>
    </format>
    <format dxfId="32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
  <location ref="G4:G5" firstHeaderRow="1" firstDataRow="1" firstDataCol="0"/>
  <pivotFields count="12">
    <pivotField compact="0" showAll="0"/>
    <pivotField compact="0" showAll="0"/>
    <pivotField compact="0" numFmtId="15" showAll="0"/>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compact="0" showAll="0"/>
    <pivotField dataField="1" compact="0" showAll="0"/>
  </pivotFields>
  <rowItems count="1">
    <i/>
  </rowItems>
  <colItems count="1">
    <i/>
  </colItems>
  <dataFields count="1">
    <dataField name="Average of Discount Amount" fld="11" subtotal="average" baseField="0" baseItem="0" numFmtId="166"/>
  </dataFields>
  <formats count="11">
    <format dxfId="316">
      <pivotArea collapsedLevelsAreSubtotals="1" fieldPosition="0"/>
    </format>
    <format dxfId="317">
      <pivotArea collapsedLevelsAreSubtotals="1" fieldPosition="0"/>
    </format>
    <format dxfId="318">
      <pivotArea collapsedLevelsAreSubtotals="1" fieldPosition="0"/>
    </format>
    <format dxfId="319">
      <pivotArea collapsedLevelsAreSubtotals="1" fieldPosition="0"/>
    </format>
    <format dxfId="320">
      <pivotArea collapsedLevelsAreSubtotals="1" fieldPosition="0"/>
    </format>
    <format dxfId="321">
      <pivotArea collapsedLevelsAreSubtotals="1" fieldPosition="0"/>
    </format>
    <format dxfId="322">
      <pivotArea collapsedLevelsAreSubtotals="1" fieldPosition="0"/>
    </format>
    <format dxfId="323">
      <pivotArea collapsedLevelsAreSubtotals="1" fieldPosition="0"/>
    </format>
    <format dxfId="324">
      <pivotArea collapsedLevelsAreSubtotals="1" fieldPosition="0"/>
    </format>
    <format dxfId="325">
      <pivotArea type="all" dataOnly="0" outline="0" fieldPosition="0"/>
    </format>
    <format dxfId="3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
  <location ref="C4:C5" firstHeaderRow="1" firstDataRow="1" firstDataCol="0"/>
  <pivotFields count="12">
    <pivotField compact="0" showAll="0"/>
    <pivotField compact="0" showAll="0"/>
    <pivotField compact="0" numFmtId="15" showAll="0"/>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dataField="1" compact="0" showAll="0"/>
    <pivotField compact="0" showAll="0"/>
  </pivotFields>
  <rowItems count="1">
    <i/>
  </rowItems>
  <colItems count="1">
    <i/>
  </colItems>
  <dataFields count="1">
    <dataField name="Sum of Revenue after discount" fld="10" baseField="0" baseItem="0" numFmtId="165"/>
  </dataFields>
  <formats count="2">
    <format dxfId="314">
      <pivotArea type="all" dataOnly="0" outline="0" fieldPosition="0"/>
    </format>
    <format dxfId="3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
  <location ref="A4:A5" firstHeaderRow="1" firstDataRow="1" firstDataCol="0"/>
  <pivotFields count="12">
    <pivotField compact="0" showAll="0"/>
    <pivotField compact="0" showAll="0"/>
    <pivotField compact="0" numFmtId="15" showAll="0"/>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dataField="1" compact="0" showAll="0"/>
    <pivotField compact="0" showAll="0"/>
  </pivotFields>
  <rowItems count="1">
    <i/>
  </rowItems>
  <colItems count="1">
    <i/>
  </colItems>
  <dataFields count="1">
    <dataField name="Count of Revenue after discount" fld="10" subtotal="count" baseField="0" baseItem="0" numFmtId="3"/>
  </dataFields>
  <formats count="3">
    <format dxfId="311">
      <pivotArea type="all" dataOnly="0" outline="0" fieldPosition="0"/>
    </format>
    <format dxfId="312">
      <pivotArea dataOnly="0" labelOnly="1" outline="0" axis="axisValues" fieldPosition="0"/>
    </format>
    <format dxfId="3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6"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12">
  <location ref="A19:B100" firstHeaderRow="1" firstDataRow="1" firstDataCol="1"/>
  <pivotFields count="12">
    <pivotField dataField="1" compact="0" showAll="0"/>
    <pivotField compact="0" showAll="0"/>
    <pivotField axis="axisRow" compact="0" numFmtId="15"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367"/>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t="default"/>
      </items>
    </pivotField>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compact="0" showAll="0"/>
    <pivotField compact="0" showAll="0"/>
  </pivotFields>
  <rowFields count="1">
    <field x="2"/>
  </rowFields>
  <rowItems count="81">
    <i>
      <x v="111"/>
    </i>
    <i>
      <x v="112"/>
    </i>
    <i>
      <x v="113"/>
    </i>
    <i>
      <x v="114"/>
    </i>
    <i>
      <x v="115"/>
    </i>
    <i>
      <x v="116"/>
    </i>
    <i>
      <x v="117"/>
    </i>
    <i>
      <x v="118"/>
    </i>
    <i>
      <x v="119"/>
    </i>
    <i>
      <x v="120"/>
    </i>
    <i>
      <x v="121"/>
    </i>
    <i>
      <x v="122"/>
    </i>
    <i>
      <x v="123"/>
    </i>
    <i>
      <x v="124"/>
    </i>
    <i>
      <x v="125"/>
    </i>
    <i>
      <x v="126"/>
    </i>
    <i>
      <x v="129"/>
    </i>
    <i>
      <x v="130"/>
    </i>
    <i>
      <x v="131"/>
    </i>
    <i>
      <x v="132"/>
    </i>
    <i>
      <x v="133"/>
    </i>
    <i>
      <x v="134"/>
    </i>
    <i>
      <x v="135"/>
    </i>
    <i>
      <x v="136"/>
    </i>
    <i>
      <x v="137"/>
    </i>
    <i>
      <x v="138"/>
    </i>
    <i>
      <x v="139"/>
    </i>
    <i>
      <x v="140"/>
    </i>
    <i>
      <x v="141"/>
    </i>
    <i>
      <x v="142"/>
    </i>
    <i>
      <x v="143"/>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314"/>
    </i>
    <i>
      <x v="315"/>
    </i>
    <i>
      <x v="316"/>
    </i>
    <i>
      <x v="317"/>
    </i>
    <i>
      <x v="318"/>
    </i>
    <i>
      <x v="319"/>
    </i>
    <i>
      <x v="320"/>
    </i>
    <i>
      <x v="321"/>
    </i>
    <i>
      <x v="322"/>
    </i>
    <i>
      <x v="323"/>
    </i>
    <i>
      <x v="324"/>
    </i>
    <i>
      <x v="325"/>
    </i>
    <i>
      <x v="326"/>
    </i>
    <i>
      <x v="327"/>
    </i>
    <i>
      <x v="328"/>
    </i>
    <i>
      <x v="329"/>
    </i>
    <i>
      <x v="330"/>
    </i>
    <i>
      <x v="331"/>
    </i>
    <i>
      <x v="332"/>
    </i>
    <i>
      <x v="333"/>
    </i>
    <i>
      <x v="334"/>
    </i>
    <i>
      <x v="335"/>
    </i>
    <i>
      <x v="336"/>
    </i>
  </rowItems>
  <colItems count="1">
    <i/>
  </colItems>
  <dataFields count="1">
    <dataField name="Count of Order ID" fld="0" subtotal="count" baseField="0" baseItem="0"/>
  </dataFields>
  <formats count="6">
    <format dxfId="305">
      <pivotArea type="all" dataOnly="0" outline="0" fieldPosition="0"/>
    </format>
    <format dxfId="306">
      <pivotArea outline="0" collapsedLevelsAreSubtotals="1" fieldPosition="0"/>
    </format>
    <format dxfId="307">
      <pivotArea field="2" type="button" dataOnly="0" labelOnly="1" outline="0" axis="axisRow" fieldPosition="0"/>
    </format>
    <format dxfId="308">
      <pivotArea dataOnly="0" labelOnly="1" outline="0" fieldPosition="0">
        <references count="1">
          <reference field="2" count="38">
            <x v="111"/>
            <x v="112"/>
            <x v="113"/>
            <x v="114"/>
            <x v="115"/>
            <x v="116"/>
            <x v="117"/>
            <x v="118"/>
            <x v="119"/>
            <x v="120"/>
            <x v="121"/>
            <x v="122"/>
            <x v="123"/>
            <x v="124"/>
            <x v="125"/>
            <x v="126"/>
            <x v="128"/>
            <x v="129"/>
            <x v="130"/>
            <x v="131"/>
            <x v="132"/>
            <x v="133"/>
            <x v="134"/>
            <x v="135"/>
            <x v="136"/>
            <x v="137"/>
            <x v="138"/>
            <x v="139"/>
            <x v="140"/>
            <x v="141"/>
            <x v="142"/>
            <x v="143"/>
            <x v="145"/>
            <x v="146"/>
            <x v="147"/>
            <x v="148"/>
            <x v="149"/>
            <x v="150"/>
          </reference>
        </references>
      </pivotArea>
    </format>
    <format dxfId="309">
      <pivotArea dataOnly="0" labelOnly="1" outline="0" fieldPosition="0">
        <references count="1">
          <reference field="2" count="22">
            <x v="151"/>
            <x v="152"/>
            <x v="153"/>
            <x v="154"/>
            <x v="155"/>
            <x v="156"/>
            <x v="157"/>
            <x v="158"/>
            <x v="159"/>
            <x v="160"/>
            <x v="161"/>
            <x v="162"/>
            <x v="163"/>
            <x v="164"/>
            <x v="165"/>
            <x v="166"/>
            <x v="167"/>
            <x v="168"/>
            <x v="169"/>
            <x v="170"/>
            <x v="171"/>
            <x v="172"/>
          </reference>
        </references>
      </pivotArea>
    </format>
    <format dxfId="310">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8" cacheId="0"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location ref="G19:M101" firstHeaderRow="1" firstDataRow="2" firstDataCol="1"/>
  <pivotFields count="12">
    <pivotField compact="0" showAll="0"/>
    <pivotField compact="0" showAll="0"/>
    <pivotField axis="axisRow" compact="0" numFmtId="15"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367"/>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t="default"/>
      </items>
    </pivotField>
    <pivotField axis="axisCol" compact="0" showAll="0" sortType="ascending">
      <items count="7">
        <item x="5"/>
        <item x="1"/>
        <item x="2"/>
        <item x="3"/>
        <item x="4"/>
        <item x="0"/>
        <item t="default"/>
      </items>
    </pivotField>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dataField="1" compact="0" showAll="0"/>
    <pivotField compact="0" showAll="0"/>
  </pivotFields>
  <rowFields count="1">
    <field x="2"/>
  </rowFields>
  <rowItems count="81">
    <i>
      <x v="111"/>
    </i>
    <i>
      <x v="112"/>
    </i>
    <i>
      <x v="113"/>
    </i>
    <i>
      <x v="114"/>
    </i>
    <i>
      <x v="115"/>
    </i>
    <i>
      <x v="116"/>
    </i>
    <i>
      <x v="117"/>
    </i>
    <i>
      <x v="118"/>
    </i>
    <i>
      <x v="119"/>
    </i>
    <i>
      <x v="120"/>
    </i>
    <i>
      <x v="121"/>
    </i>
    <i>
      <x v="122"/>
    </i>
    <i>
      <x v="123"/>
    </i>
    <i>
      <x v="124"/>
    </i>
    <i>
      <x v="125"/>
    </i>
    <i>
      <x v="126"/>
    </i>
    <i>
      <x v="129"/>
    </i>
    <i>
      <x v="130"/>
    </i>
    <i>
      <x v="131"/>
    </i>
    <i>
      <x v="132"/>
    </i>
    <i>
      <x v="133"/>
    </i>
    <i>
      <x v="134"/>
    </i>
    <i>
      <x v="135"/>
    </i>
    <i>
      <x v="136"/>
    </i>
    <i>
      <x v="137"/>
    </i>
    <i>
      <x v="138"/>
    </i>
    <i>
      <x v="139"/>
    </i>
    <i>
      <x v="140"/>
    </i>
    <i>
      <x v="141"/>
    </i>
    <i>
      <x v="142"/>
    </i>
    <i>
      <x v="143"/>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314"/>
    </i>
    <i>
      <x v="315"/>
    </i>
    <i>
      <x v="316"/>
    </i>
    <i>
      <x v="317"/>
    </i>
    <i>
      <x v="318"/>
    </i>
    <i>
      <x v="319"/>
    </i>
    <i>
      <x v="320"/>
    </i>
    <i>
      <x v="321"/>
    </i>
    <i>
      <x v="322"/>
    </i>
    <i>
      <x v="323"/>
    </i>
    <i>
      <x v="324"/>
    </i>
    <i>
      <x v="325"/>
    </i>
    <i>
      <x v="326"/>
    </i>
    <i>
      <x v="327"/>
    </i>
    <i>
      <x v="328"/>
    </i>
    <i>
      <x v="329"/>
    </i>
    <i>
      <x v="330"/>
    </i>
    <i>
      <x v="331"/>
    </i>
    <i>
      <x v="332"/>
    </i>
    <i>
      <x v="333"/>
    </i>
    <i>
      <x v="334"/>
    </i>
    <i>
      <x v="335"/>
    </i>
    <i>
      <x v="336"/>
    </i>
  </rowItems>
  <colFields count="1">
    <field x="3"/>
  </colFields>
  <colItems count="6">
    <i>
      <x/>
    </i>
    <i>
      <x v="1"/>
    </i>
    <i>
      <x v="2"/>
    </i>
    <i>
      <x v="3"/>
    </i>
    <i>
      <x v="4"/>
    </i>
    <i>
      <x v="5"/>
    </i>
  </colItems>
  <dataFields count="1">
    <dataField name="Sum of Revenue after discount" fld="10" baseField="0" baseItem="0" numFmtId="164"/>
  </dataFields>
  <formats count="9">
    <format dxfId="296">
      <pivotArea type="all" dataOnly="0" outline="0" fieldPosition="0"/>
    </format>
    <format dxfId="297">
      <pivotArea outline="0" collapsedLevelsAreSubtotals="1" fieldPosition="0"/>
    </format>
    <format dxfId="298">
      <pivotArea type="origin" dataOnly="0" labelOnly="1" outline="0" fieldPosition="0"/>
    </format>
    <format dxfId="299">
      <pivotArea field="3" type="button" dataOnly="0" labelOnly="1" outline="0" axis="axisCol" fieldPosition="0"/>
    </format>
    <format dxfId="300">
      <pivotArea type="topRight" dataOnly="0" labelOnly="1" outline="0" fieldPosition="0"/>
    </format>
    <format dxfId="301">
      <pivotArea field="2" type="button" dataOnly="0" labelOnly="1" outline="0" axis="axisRow" fieldPosition="0"/>
    </format>
    <format dxfId="302">
      <pivotArea dataOnly="0" labelOnly="1" outline="0" fieldPosition="0">
        <references count="1">
          <reference field="2" count="38">
            <x v="111"/>
            <x v="112"/>
            <x v="113"/>
            <x v="114"/>
            <x v="115"/>
            <x v="116"/>
            <x v="117"/>
            <x v="118"/>
            <x v="119"/>
            <x v="120"/>
            <x v="121"/>
            <x v="122"/>
            <x v="123"/>
            <x v="124"/>
            <x v="125"/>
            <x v="126"/>
            <x v="128"/>
            <x v="129"/>
            <x v="130"/>
            <x v="131"/>
            <x v="132"/>
            <x v="133"/>
            <x v="134"/>
            <x v="135"/>
            <x v="136"/>
            <x v="137"/>
            <x v="138"/>
            <x v="139"/>
            <x v="140"/>
            <x v="141"/>
            <x v="142"/>
            <x v="143"/>
            <x v="145"/>
            <x v="146"/>
            <x v="147"/>
            <x v="148"/>
            <x v="149"/>
            <x v="150"/>
          </reference>
        </references>
      </pivotArea>
    </format>
    <format dxfId="303">
      <pivotArea dataOnly="0" labelOnly="1" outline="0" fieldPosition="0">
        <references count="1">
          <reference field="2" count="22">
            <x v="151"/>
            <x v="152"/>
            <x v="153"/>
            <x v="154"/>
            <x v="155"/>
            <x v="156"/>
            <x v="157"/>
            <x v="158"/>
            <x v="159"/>
            <x v="160"/>
            <x v="161"/>
            <x v="162"/>
            <x v="163"/>
            <x v="164"/>
            <x v="165"/>
            <x v="166"/>
            <x v="167"/>
            <x v="168"/>
            <x v="169"/>
            <x v="170"/>
            <x v="171"/>
            <x v="172"/>
          </reference>
        </references>
      </pivotArea>
    </format>
    <format dxfId="304">
      <pivotArea dataOnly="0" labelOnly="1" outline="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7"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19">
  <location ref="D19:E100" firstHeaderRow="1" firstDataRow="1" firstDataCol="1"/>
  <pivotFields count="12">
    <pivotField compact="0" showAll="0"/>
    <pivotField compact="0" showAll="0"/>
    <pivotField axis="axisRow" compact="0" numFmtId="15" showAll="0">
      <items count="369">
        <item x="0"/>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367"/>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t="default"/>
      </items>
    </pivotField>
    <pivotField compact="0" showAll="0"/>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compact="0" showAll="0"/>
    <pivotField dataField="1" compact="0" showAll="0"/>
    <pivotField compact="0" showAll="0"/>
  </pivotFields>
  <rowFields count="1">
    <field x="2"/>
  </rowFields>
  <rowItems count="81">
    <i>
      <x v="111"/>
    </i>
    <i>
      <x v="112"/>
    </i>
    <i>
      <x v="113"/>
    </i>
    <i>
      <x v="114"/>
    </i>
    <i>
      <x v="115"/>
    </i>
    <i>
      <x v="116"/>
    </i>
    <i>
      <x v="117"/>
    </i>
    <i>
      <x v="118"/>
    </i>
    <i>
      <x v="119"/>
    </i>
    <i>
      <x v="120"/>
    </i>
    <i>
      <x v="121"/>
    </i>
    <i>
      <x v="122"/>
    </i>
    <i>
      <x v="123"/>
    </i>
    <i>
      <x v="124"/>
    </i>
    <i>
      <x v="125"/>
    </i>
    <i>
      <x v="126"/>
    </i>
    <i>
      <x v="129"/>
    </i>
    <i>
      <x v="130"/>
    </i>
    <i>
      <x v="131"/>
    </i>
    <i>
      <x v="132"/>
    </i>
    <i>
      <x v="133"/>
    </i>
    <i>
      <x v="134"/>
    </i>
    <i>
      <x v="135"/>
    </i>
    <i>
      <x v="136"/>
    </i>
    <i>
      <x v="137"/>
    </i>
    <i>
      <x v="138"/>
    </i>
    <i>
      <x v="139"/>
    </i>
    <i>
      <x v="140"/>
    </i>
    <i>
      <x v="141"/>
    </i>
    <i>
      <x v="142"/>
    </i>
    <i>
      <x v="143"/>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314"/>
    </i>
    <i>
      <x v="315"/>
    </i>
    <i>
      <x v="316"/>
    </i>
    <i>
      <x v="317"/>
    </i>
    <i>
      <x v="318"/>
    </i>
    <i>
      <x v="319"/>
    </i>
    <i>
      <x v="320"/>
    </i>
    <i>
      <x v="321"/>
    </i>
    <i>
      <x v="322"/>
    </i>
    <i>
      <x v="323"/>
    </i>
    <i>
      <x v="324"/>
    </i>
    <i>
      <x v="325"/>
    </i>
    <i>
      <x v="326"/>
    </i>
    <i>
      <x v="327"/>
    </i>
    <i>
      <x v="328"/>
    </i>
    <i>
      <x v="329"/>
    </i>
    <i>
      <x v="330"/>
    </i>
    <i>
      <x v="331"/>
    </i>
    <i>
      <x v="332"/>
    </i>
    <i>
      <x v="333"/>
    </i>
    <i>
      <x v="334"/>
    </i>
    <i>
      <x v="335"/>
    </i>
    <i>
      <x v="336"/>
    </i>
  </rowItems>
  <colItems count="1">
    <i/>
  </colItems>
  <dataFields count="1">
    <dataField name="Sum of Revenue after discount" fld="10" baseField="0" baseItem="0" numFmtId="165"/>
  </dataFields>
  <formats count="7">
    <format dxfId="289">
      <pivotArea type="all" dataOnly="0" outline="0" fieldPosition="0"/>
    </format>
    <format dxfId="290">
      <pivotArea outline="0" collapsedLevelsAreSubtotals="1" fieldPosition="0"/>
    </format>
    <format dxfId="291">
      <pivotArea field="2" type="button" dataOnly="0" labelOnly="1" outline="0" axis="axisRow" fieldPosition="0"/>
    </format>
    <format dxfId="292">
      <pivotArea dataOnly="0" labelOnly="1" outline="0" fieldPosition="0">
        <references count="1">
          <reference field="2" count="38">
            <x v="111"/>
            <x v="112"/>
            <x v="113"/>
            <x v="114"/>
            <x v="115"/>
            <x v="116"/>
            <x v="117"/>
            <x v="118"/>
            <x v="119"/>
            <x v="120"/>
            <x v="121"/>
            <x v="122"/>
            <x v="123"/>
            <x v="124"/>
            <x v="125"/>
            <x v="126"/>
            <x v="128"/>
            <x v="129"/>
            <x v="130"/>
            <x v="131"/>
            <x v="132"/>
            <x v="133"/>
            <x v="134"/>
            <x v="135"/>
            <x v="136"/>
            <x v="137"/>
            <x v="138"/>
            <x v="139"/>
            <x v="140"/>
            <x v="141"/>
            <x v="142"/>
            <x v="143"/>
            <x v="145"/>
            <x v="146"/>
            <x v="147"/>
            <x v="148"/>
            <x v="149"/>
            <x v="150"/>
          </reference>
        </references>
      </pivotArea>
    </format>
    <format dxfId="293">
      <pivotArea dataOnly="0" labelOnly="1" outline="0" fieldPosition="0">
        <references count="1">
          <reference field="2" count="22">
            <x v="151"/>
            <x v="152"/>
            <x v="153"/>
            <x v="154"/>
            <x v="155"/>
            <x v="156"/>
            <x v="157"/>
            <x v="158"/>
            <x v="159"/>
            <x v="160"/>
            <x v="161"/>
            <x v="162"/>
            <x v="163"/>
            <x v="164"/>
            <x v="165"/>
            <x v="166"/>
            <x v="167"/>
            <x v="168"/>
            <x v="169"/>
            <x v="170"/>
            <x v="171"/>
            <x v="172"/>
          </reference>
        </references>
      </pivotArea>
    </format>
    <format dxfId="294">
      <pivotArea dataOnly="0" labelOnly="1" outline="0" axis="axisValues" fieldPosition="0"/>
    </format>
    <format dxfId="295">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76">
  <location ref="A9:C15" firstHeaderRow="0" firstDataRow="1" firstDataCol="1"/>
  <pivotFields count="12">
    <pivotField compact="0" showAll="0"/>
    <pivotField compact="0" showAll="0"/>
    <pivotField compact="0" numFmtId="15" showAll="0"/>
    <pivotField axis="axisRow" compact="0" showAll="0">
      <items count="7">
        <item x="5"/>
        <item x="1"/>
        <item x="2"/>
        <item x="3"/>
        <item x="4"/>
        <item x="0"/>
        <item t="default"/>
      </items>
    </pivotField>
    <pivotField compact="0" showAll="0">
      <items count="3">
        <item x="0"/>
        <item h="1" x="1"/>
        <item t="default"/>
      </items>
    </pivotField>
    <pivotField compact="0" showAll="0"/>
    <pivotField compact="0" showAll="0">
      <items count="4">
        <item x="1"/>
        <item x="2"/>
        <item x="0"/>
        <item t="default"/>
      </items>
    </pivotField>
    <pivotField compact="0" showAll="0"/>
    <pivotField compact="0" numFmtId="9" showAll="0"/>
    <pivotField dataField="1" compact="0" showAll="0"/>
    <pivotField dataField="1" compact="0" showAll="0"/>
    <pivotField compact="0" showAll="0"/>
  </pivotFields>
  <rowFields count="1">
    <field x="3"/>
  </rowFields>
  <rowItems count="6">
    <i>
      <x/>
    </i>
    <i>
      <x v="1"/>
    </i>
    <i>
      <x v="2"/>
    </i>
    <i>
      <x v="3"/>
    </i>
    <i>
      <x v="4"/>
    </i>
    <i>
      <x v="5"/>
    </i>
  </rowItems>
  <colFields count="1">
    <field x="-2"/>
  </colFields>
  <colItems count="2">
    <i>
      <x/>
    </i>
    <i i="1">
      <x v="1"/>
    </i>
  </colItems>
  <dataFields count="2">
    <dataField name="No. of orders" fld="9" subtotal="count" baseField="0" baseItem="0"/>
    <dataField name="Revenue (₹)" fld="10" baseField="0" baseItem="0" numFmtId="165"/>
  </dataFields>
  <formats count="7">
    <format dxfId="282">
      <pivotArea dataOnly="0" labelOnly="1" fieldPosition="0">
        <references count="1">
          <reference field="3" count="1">
            <x v="0"/>
          </reference>
        </references>
      </pivotArea>
    </format>
    <format dxfId="283">
      <pivotArea type="all" dataOnly="0" outline="0" fieldPosition="0"/>
    </format>
    <format dxfId="284">
      <pivotArea outline="0" collapsedLevelsAreSubtotals="1" fieldPosition="0"/>
    </format>
    <format dxfId="285">
      <pivotArea field="3" type="button" dataOnly="0" labelOnly="1" outline="0" axis="axisRow" fieldPosition="0"/>
    </format>
    <format dxfId="286">
      <pivotArea dataOnly="0" labelOnly="1" outline="0" fieldPosition="0">
        <references count="1">
          <reference field="3" count="0"/>
        </references>
      </pivotArea>
    </format>
    <format dxfId="287">
      <pivotArea dataOnly="0" labelOnly="1" outline="0" fieldPosition="0">
        <references count="1">
          <reference field="4294967294" count="2">
            <x v="0"/>
            <x v="1"/>
          </reference>
        </references>
      </pivotArea>
    </format>
    <format dxfId="288">
      <pivotArea outline="0"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0"/>
          </reference>
        </references>
      </pivotArea>
    </chartFormat>
    <chartFormat chart="0" format="3">
      <pivotArea type="data" outline="0" fieldPosition="0">
        <references count="2">
          <reference field="4294967294" count="1" selected="0">
            <x v="1"/>
          </reference>
          <reference field="3" count="1" selected="0">
            <x v="1"/>
          </reference>
        </references>
      </pivotArea>
    </chartFormat>
    <chartFormat chart="0" format="4">
      <pivotArea type="data" outline="0" fieldPosition="0">
        <references count="2">
          <reference field="4294967294" count="1" selected="0">
            <x v="1"/>
          </reference>
          <reference field="3" count="1" selected="0">
            <x v="2"/>
          </reference>
        </references>
      </pivotArea>
    </chartFormat>
    <chartFormat chart="0" format="5">
      <pivotArea type="data" outline="0" fieldPosition="0">
        <references count="2">
          <reference field="4294967294" count="1" selected="0">
            <x v="1"/>
          </reference>
          <reference field="3" count="1" selected="0">
            <x v="3"/>
          </reference>
        </references>
      </pivotArea>
    </chartFormat>
    <chartFormat chart="0" format="6">
      <pivotArea type="data" outline="0" fieldPosition="0">
        <references count="2">
          <reference field="4294967294" count="1" selected="0">
            <x v="1"/>
          </reference>
          <reference field="3" count="1" selected="0">
            <x v="4"/>
          </reference>
        </references>
      </pivotArea>
    </chartFormat>
    <chartFormat chart="0" format="7">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00000000-0013-0000-FFFF-FFFF01000000}" sourceName="Order Type">
  <pivotTables>
    <pivotTable tabId="11" name="PivotTable2"/>
    <pivotTable tabId="11" name="PivotTable1"/>
    <pivotTable tabId="11" name="PivotTable3"/>
    <pivotTable tabId="11" name="PivotTable4"/>
    <pivotTable tabId="11" name="PivotTable5"/>
    <pivotTable tabId="11" name="PivotTable6"/>
    <pivotTable tabId="11" name="PivotTable7"/>
    <pivotTable tabId="11" name="PivotTable8"/>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00000000-0013-0000-FFFF-FFFF02000000}" sourceName="Agent">
  <pivotTables>
    <pivotTable tabId="11" name="PivotTable2"/>
    <pivotTable tabId="11" name="PivotTable1"/>
    <pivotTable tabId="11" name="PivotTable3"/>
    <pivotTable tabId="11" name="PivotTable4"/>
    <pivotTable tabId="11" name="PivotTable5"/>
    <pivotTable tabId="11" name="PivotTable6"/>
    <pivotTable tabId="11" name="PivotTable7"/>
    <pivotTable tabId="11" name="PivotTable8"/>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4" xr10:uid="{6538B1DF-4BE7-4C86-9BA6-4EE06A6AA514}" cache="Slicer_Order_Type" caption="Order Type" columnCount="2" rowHeight="226800"/>
  <slicer name="Agent 5" xr10:uid="{FA670CA9-7957-4F76-9A93-F0FFC0E3D2B5}" cache="Slicer_Agent" caption="Agent" columnCount="3"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_service" displayName="customer_service" ref="A1:L795" totalsRowShown="0">
  <autoFilter ref="A1:L795" xr:uid="{00000000-0009-0000-0100-000001000000}"/>
  <tableColumns count="12">
    <tableColumn id="1" xr3:uid="{00000000-0010-0000-0000-000001000000}" name="S.No"/>
    <tableColumn id="2" xr3:uid="{00000000-0010-0000-0000-000002000000}" name="Customer ID"/>
    <tableColumn id="3" xr3:uid="{00000000-0010-0000-0000-000003000000}" name="Order ID"/>
    <tableColumn id="4" xr3:uid="{00000000-0010-0000-0000-000004000000}" name="Customer Name"/>
    <tableColumn id="5" xr3:uid="{00000000-0010-0000-0000-000005000000}" name="Contact Date" dataDxfId="347"/>
    <tableColumn id="11" xr3:uid="{00000000-0010-0000-0000-00000B000000}" name="Contact Date Month" dataDxfId="346">
      <calculatedColumnFormula>TEXT(E2,"dd-mmm")</calculatedColumnFormula>
    </tableColumn>
    <tableColumn id="12" xr3:uid="{00000000-0010-0000-0000-00000C000000}" name="Contact Day" dataDxfId="345">
      <calculatedColumnFormula>TEXT(E2,"dddd")</calculatedColumnFormula>
    </tableColumn>
    <tableColumn id="6" xr3:uid="{00000000-0010-0000-0000-000006000000}" name="Contact Type"/>
    <tableColumn id="7" xr3:uid="{00000000-0010-0000-0000-000007000000}" name="Is It for an Order ?"/>
    <tableColumn id="8" xr3:uid="{00000000-0010-0000-0000-000008000000}" name="Ticket ID"/>
    <tableColumn id="9" xr3:uid="{00000000-0010-0000-0000-000009000000}" name="Agent Handled"/>
    <tableColumn id="10" xr3:uid="{00000000-0010-0000-0000-00000A000000}"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795" totalsRowShown="0">
  <autoFilter ref="A1:F795" xr:uid="{00000000-0009-0000-0100-000002000000}"/>
  <tableColumns count="6">
    <tableColumn id="1" xr3:uid="{00000000-0010-0000-0100-000001000000}" name="Order ID"/>
    <tableColumn id="2" xr3:uid="{00000000-0010-0000-0100-000002000000}" name="Product ID"/>
    <tableColumn id="3" xr3:uid="{00000000-0010-0000-0100-000003000000}" name="Sale Date" dataDxfId="344"/>
    <tableColumn id="4" xr3:uid="{00000000-0010-0000-0100-000004000000}" name="Amount in Sales"/>
    <tableColumn id="5" xr3:uid="{00000000-0010-0000-0100-000005000000}" name="Discounted Value"/>
    <tableColumn id="6" xr3:uid="{00000000-0010-0000-0100-000006000000}" name="Regio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D840FE-E58E-4245-AB87-692EE4D67B38}" name="Table3" displayName="Table3" ref="B5:M799" totalsRowShown="0" headerRowDxfId="343" dataDxfId="342" tableBorderDxfId="341">
  <autoFilter ref="B5:M799" xr:uid="{D0D840FE-E58E-4245-AB87-692EE4D67B38}"/>
  <tableColumns count="12">
    <tableColumn id="1" xr3:uid="{668EFCAF-531B-49A9-933A-0F10FCA3B105}" name="Order ID" dataDxfId="340"/>
    <tableColumn id="2" xr3:uid="{1AA73A0E-1466-4E54-9320-D3A4562033DB}" name="Product ID" dataDxfId="339"/>
    <tableColumn id="3" xr3:uid="{AA4FE958-7E44-4E7B-8835-A94FD73F2E46}" name="Sale Date" dataDxfId="338"/>
    <tableColumn id="4" xr3:uid="{33AA7FC1-EB00-44CA-B40F-4EDDDA06D128}" name="Product Name" dataDxfId="337"/>
    <tableColumn id="5" xr3:uid="{35071AF0-4AF8-4B2D-B83E-0E72F5C782A5}" name="Order Type" dataDxfId="336"/>
    <tableColumn id="6" xr3:uid="{8B0B7761-56C3-4622-8F31-7A7C5F702882}" name="Price of One Product" dataDxfId="335"/>
    <tableColumn id="7" xr3:uid="{098262AF-3D34-465D-83EB-DE3B78840285}" name="Agent" dataDxfId="334"/>
    <tableColumn id="8" xr3:uid="{0BBAF920-482D-42E1-A750-A06DB9D3ECF6}" name="No of Products in one Sale" dataDxfId="333"/>
    <tableColumn id="9" xr3:uid="{27BB5CAE-A585-40FA-A116-7FD09B2274E7}" name="Discount" dataDxfId="329"/>
    <tableColumn id="10" xr3:uid="{BD4F5E30-BC81-4F01-99D2-950B51CE9DF4}" name="Revenue before discount" dataDxfId="332">
      <calculatedColumnFormula>PRODUCT(I6,G6)</calculatedColumnFormula>
    </tableColumn>
    <tableColumn id="11" xr3:uid="{A1FD1FE6-99AE-4103-9B02-2268A5370B25}" name="Revenue after discount" dataDxfId="331">
      <calculatedColumnFormula>ROUND(K6*(1-J6),0)</calculatedColumnFormula>
    </tableColumn>
    <tableColumn id="12" xr3:uid="{8946BD7C-8386-48BE-A536-1268829CF4B7}" name="Discount Amount" dataDxfId="330">
      <calculatedColumnFormula>ROUND(L6-K6,0)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Aspect">
  <a:themeElements>
    <a:clrScheme name="Elemental">
      <a:dk1>
        <a:sysClr val="windowText" lastClr="000000"/>
      </a:dk1>
      <a:lt1>
        <a:sysClr val="window" lastClr="FFFFFF"/>
      </a:lt1>
      <a:dk2>
        <a:srgbClr val="242852"/>
      </a:dk2>
      <a:lt2>
        <a:srgbClr val="ACCBF9"/>
      </a:lt2>
      <a:accent1>
        <a:srgbClr val="629DD1"/>
      </a:accent1>
      <a:accent2>
        <a:srgbClr val="297FD5"/>
      </a:accent2>
      <a:accent3>
        <a:srgbClr val="7F8FA9"/>
      </a:accent3>
      <a:accent4>
        <a:srgbClr val="4A66AC"/>
      </a:accent4>
      <a:accent5>
        <a:srgbClr val="5AA2AE"/>
      </a:accent5>
      <a:accent6>
        <a:srgbClr val="9D90A0"/>
      </a:accent6>
      <a:hlink>
        <a:srgbClr val="9454C3"/>
      </a:hlink>
      <a:folHlink>
        <a:srgbClr val="3EBBF0"/>
      </a:folHlink>
    </a:clrScheme>
    <a:fontScheme name="Aspect">
      <a:majorFont>
        <a:latin typeface="Verdana"/>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Verdana"/>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spect">
      <a:fillStyleLst>
        <a:solidFill>
          <a:schemeClr val="phClr"/>
        </a:solidFill>
        <a:gradFill rotWithShape="1">
          <a:gsLst>
            <a:gs pos="0">
              <a:schemeClr val="phClr">
                <a:tint val="65000"/>
                <a:satMod val="270000"/>
              </a:schemeClr>
            </a:gs>
            <a:gs pos="25000">
              <a:schemeClr val="phClr">
                <a:tint val="60000"/>
                <a:satMod val="300000"/>
              </a:schemeClr>
            </a:gs>
            <a:gs pos="100000">
              <a:schemeClr val="phClr">
                <a:tint val="29000"/>
                <a:satMod val="400000"/>
              </a:schemeClr>
            </a:gs>
          </a:gsLst>
          <a:lin ang="16200000" scaled="1"/>
        </a:gradFill>
        <a:gradFill rotWithShape="1">
          <a:gsLst>
            <a:gs pos="0">
              <a:schemeClr val="phClr">
                <a:shade val="45000"/>
                <a:satMod val="155000"/>
              </a:schemeClr>
            </a:gs>
            <a:gs pos="60000">
              <a:schemeClr val="phClr">
                <a:shade val="95000"/>
                <a:satMod val="150000"/>
              </a:schemeClr>
            </a:gs>
            <a:gs pos="100000">
              <a:schemeClr val="phClr">
                <a:tint val="87000"/>
                <a:satMod val="250000"/>
              </a:schemeClr>
            </a:gs>
          </a:gsLst>
          <a:lin ang="16200000" scaled="0"/>
        </a:gradFill>
      </a:fillStyleLst>
      <a:lnStyleLst>
        <a:ln w="9525" cap="flat" cmpd="sng" algn="ctr">
          <a:solidFill>
            <a:schemeClr val="phClr">
              <a:satMod val="150000"/>
            </a:schemeClr>
          </a:solidFill>
          <a:prstDash val="solid"/>
        </a:ln>
        <a:ln w="42500" cap="flat" cmpd="sng" algn="ctr">
          <a:solidFill>
            <a:schemeClr val="phClr"/>
          </a:solidFill>
          <a:prstDash val="solid"/>
        </a:ln>
        <a:ln w="38100" cap="flat" cmpd="sng" algn="ctr">
          <a:solidFill>
            <a:schemeClr val="phClr"/>
          </a:solidFill>
          <a:prstDash val="solid"/>
        </a:ln>
      </a:lnStyleLst>
      <a:effectStyleLst>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effectStyle>
        <a:effectStyle>
          <a:effectLst>
            <a:outerShdw blurRad="65500" dist="38100" dir="5400000" rotWithShape="0">
              <a:srgbClr val="000000">
                <a:alpha val="40000"/>
              </a:srgbClr>
            </a:outerShdw>
          </a:effectLst>
          <a:scene3d>
            <a:camera prst="orthographicFront" fov="0">
              <a:rot lat="0" lon="0" rev="0"/>
            </a:camera>
            <a:lightRig rig="contrasting" dir="t">
              <a:rot lat="0" lon="0" rev="12000000"/>
            </a:lightRig>
          </a:scene3d>
          <a:sp3d prstMaterial="powder">
            <a:bevelT h="50800"/>
          </a:sp3d>
        </a:effectStyle>
      </a:effectStyleLst>
      <a:bgFillStyleLst>
        <a:solidFill>
          <a:schemeClr val="phClr"/>
        </a:solidFill>
        <a:gradFill rotWithShape="1">
          <a:gsLst>
            <a:gs pos="0">
              <a:schemeClr val="phClr">
                <a:shade val="35000"/>
                <a:satMod val="150000"/>
              </a:schemeClr>
            </a:gs>
            <a:gs pos="45000">
              <a:schemeClr val="phClr">
                <a:shade val="68000"/>
                <a:satMod val="155000"/>
              </a:schemeClr>
            </a:gs>
            <a:gs pos="100000">
              <a:schemeClr val="phClr">
                <a:tint val="70000"/>
                <a:satMod val="175000"/>
              </a:schemeClr>
            </a:gs>
          </a:gsLst>
          <a:lin ang="16200000" scaled="0"/>
        </a:gradFill>
        <a:blipFill>
          <a:tile tx="0" ty="0" sx="75000" sy="7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95"/>
  <sheetViews>
    <sheetView zoomScale="110" zoomScaleNormal="110" workbookViewId="0">
      <selection sqref="A1:L795"/>
    </sheetView>
  </sheetViews>
  <sheetFormatPr defaultColWidth="7.36328125" defaultRowHeight="13.8"/>
  <cols>
    <col min="1" max="1" width="6.08984375" customWidth="1"/>
    <col min="2" max="2" width="11.54296875" customWidth="1"/>
    <col min="3" max="3" width="8.90625" customWidth="1"/>
    <col min="4" max="4" width="16.90625" customWidth="1"/>
    <col min="5" max="5" width="11.90625" style="3" customWidth="1"/>
    <col min="6" max="6" width="22.36328125" style="3" customWidth="1"/>
    <col min="7" max="7" width="11.90625" style="3" customWidth="1"/>
    <col min="8" max="8" width="12" customWidth="1"/>
    <col min="9" max="9" width="15.6328125" customWidth="1"/>
    <col min="10" max="10" width="8.90625" customWidth="1"/>
    <col min="11" max="11" width="13.54296875" customWidth="1"/>
    <col min="12" max="12" width="11.81640625" customWidth="1"/>
  </cols>
  <sheetData>
    <row r="1" spans="1:12">
      <c r="A1" s="4" t="s">
        <v>4</v>
      </c>
      <c r="B1" s="4" t="s">
        <v>5</v>
      </c>
      <c r="C1" s="4" t="s">
        <v>6</v>
      </c>
      <c r="D1" s="4" t="s">
        <v>7</v>
      </c>
      <c r="E1" s="5" t="s">
        <v>8</v>
      </c>
      <c r="F1" s="5" t="s">
        <v>9</v>
      </c>
      <c r="G1" s="5" t="s">
        <v>10</v>
      </c>
      <c r="H1" s="4" t="s">
        <v>11</v>
      </c>
      <c r="I1" s="4" t="s">
        <v>12</v>
      </c>
      <c r="J1" s="4" t="s">
        <v>13</v>
      </c>
      <c r="K1" s="4" t="s">
        <v>14</v>
      </c>
      <c r="L1" s="6" t="s">
        <v>15</v>
      </c>
    </row>
    <row r="2" spans="1:12">
      <c r="A2">
        <v>1</v>
      </c>
      <c r="B2" t="s">
        <v>16</v>
      </c>
      <c r="C2" t="s">
        <v>16</v>
      </c>
      <c r="D2" t="s">
        <v>17</v>
      </c>
      <c r="E2" s="3">
        <v>44739</v>
      </c>
      <c r="F2" s="3" t="str">
        <f t="shared" ref="F2:F65" si="0">TEXT(E2,"dd-mmm")</f>
        <v>27-Jun</v>
      </c>
      <c r="G2" s="3" t="str">
        <f>TEXT(E2,"dddd")</f>
        <v>Monday</v>
      </c>
      <c r="H2" t="s">
        <v>18</v>
      </c>
      <c r="I2" t="s">
        <v>19</v>
      </c>
      <c r="J2" t="s">
        <v>20</v>
      </c>
      <c r="K2" t="s">
        <v>21</v>
      </c>
      <c r="L2">
        <v>9</v>
      </c>
    </row>
    <row r="3" spans="1:12">
      <c r="A3">
        <v>2</v>
      </c>
      <c r="B3" t="s">
        <v>22</v>
      </c>
      <c r="C3" t="s">
        <v>22</v>
      </c>
      <c r="D3" t="s">
        <v>23</v>
      </c>
      <c r="E3" s="3">
        <v>44740</v>
      </c>
      <c r="F3" s="3" t="str">
        <f t="shared" si="0"/>
        <v>28-Jun</v>
      </c>
      <c r="G3" s="3" t="str">
        <f t="shared" ref="G3:G65" si="1">TEXT(E3,"dddd")</f>
        <v>Tuesday</v>
      </c>
      <c r="H3" t="s">
        <v>24</v>
      </c>
      <c r="I3" t="s">
        <v>19</v>
      </c>
      <c r="J3" t="s">
        <v>25</v>
      </c>
      <c r="K3" t="s">
        <v>26</v>
      </c>
      <c r="L3">
        <v>7</v>
      </c>
    </row>
    <row r="4" spans="1:12">
      <c r="A4">
        <v>3</v>
      </c>
      <c r="B4" t="s">
        <v>27</v>
      </c>
      <c r="C4" t="s">
        <v>27</v>
      </c>
      <c r="D4" t="s">
        <v>28</v>
      </c>
      <c r="E4" s="3">
        <v>44734</v>
      </c>
      <c r="F4" s="3" t="str">
        <f t="shared" si="0"/>
        <v>22-Jun</v>
      </c>
      <c r="G4" s="3" t="str">
        <f t="shared" si="1"/>
        <v>Wednesday</v>
      </c>
      <c r="H4" t="s">
        <v>29</v>
      </c>
      <c r="I4" t="s">
        <v>30</v>
      </c>
      <c r="J4" t="s">
        <v>31</v>
      </c>
      <c r="K4" t="s">
        <v>32</v>
      </c>
      <c r="L4">
        <v>8</v>
      </c>
    </row>
    <row r="5" spans="1:12">
      <c r="A5">
        <v>4</v>
      </c>
      <c r="B5" t="s">
        <v>33</v>
      </c>
      <c r="C5" t="s">
        <v>33</v>
      </c>
      <c r="D5" t="s">
        <v>34</v>
      </c>
      <c r="E5" s="3">
        <v>44737</v>
      </c>
      <c r="F5" s="3" t="str">
        <f t="shared" si="0"/>
        <v>25-Jun</v>
      </c>
      <c r="G5" s="3" t="str">
        <f t="shared" si="1"/>
        <v>Saturday</v>
      </c>
      <c r="H5" t="s">
        <v>18</v>
      </c>
      <c r="I5" t="s">
        <v>19</v>
      </c>
      <c r="J5" t="s">
        <v>35</v>
      </c>
      <c r="K5" t="s">
        <v>21</v>
      </c>
      <c r="L5">
        <v>6</v>
      </c>
    </row>
    <row r="6" spans="1:12">
      <c r="A6">
        <v>5</v>
      </c>
      <c r="B6" t="s">
        <v>36</v>
      </c>
      <c r="C6" t="s">
        <v>36</v>
      </c>
      <c r="D6" t="s">
        <v>37</v>
      </c>
      <c r="E6" s="3">
        <v>44735</v>
      </c>
      <c r="F6" s="3" t="str">
        <f t="shared" si="0"/>
        <v>23-Jun</v>
      </c>
      <c r="G6" s="3" t="str">
        <f t="shared" si="1"/>
        <v>Thursday</v>
      </c>
      <c r="H6" t="s">
        <v>24</v>
      </c>
      <c r="I6" t="s">
        <v>19</v>
      </c>
      <c r="J6" t="s">
        <v>38</v>
      </c>
      <c r="K6" t="s">
        <v>26</v>
      </c>
      <c r="L6">
        <v>2</v>
      </c>
    </row>
    <row r="7" spans="1:12">
      <c r="A7">
        <v>6</v>
      </c>
      <c r="B7" t="s">
        <v>39</v>
      </c>
      <c r="C7" t="s">
        <v>39</v>
      </c>
      <c r="D7" t="s">
        <v>40</v>
      </c>
      <c r="E7" s="3">
        <v>44727</v>
      </c>
      <c r="F7" s="3" t="str">
        <f t="shared" si="0"/>
        <v>15-Jun</v>
      </c>
      <c r="G7" s="3" t="str">
        <f t="shared" si="1"/>
        <v>Wednesday</v>
      </c>
      <c r="H7" t="s">
        <v>24</v>
      </c>
      <c r="I7" t="s">
        <v>19</v>
      </c>
      <c r="J7" t="s">
        <v>41</v>
      </c>
      <c r="K7" t="s">
        <v>32</v>
      </c>
      <c r="L7">
        <v>4</v>
      </c>
    </row>
    <row r="8" spans="1:12">
      <c r="A8">
        <v>7</v>
      </c>
      <c r="B8" t="s">
        <v>42</v>
      </c>
      <c r="C8" t="s">
        <v>42</v>
      </c>
      <c r="D8" t="s">
        <v>43</v>
      </c>
      <c r="E8" s="3">
        <v>44740</v>
      </c>
      <c r="F8" s="3" t="str">
        <f t="shared" si="0"/>
        <v>28-Jun</v>
      </c>
      <c r="G8" s="3" t="str">
        <f t="shared" si="1"/>
        <v>Tuesday</v>
      </c>
      <c r="H8" t="s">
        <v>18</v>
      </c>
      <c r="I8" t="s">
        <v>19</v>
      </c>
      <c r="J8" t="s">
        <v>44</v>
      </c>
      <c r="K8" t="s">
        <v>21</v>
      </c>
      <c r="L8">
        <v>1</v>
      </c>
    </row>
    <row r="9" spans="1:12">
      <c r="A9">
        <v>8</v>
      </c>
      <c r="B9" t="s">
        <v>45</v>
      </c>
      <c r="C9" t="s">
        <v>46</v>
      </c>
      <c r="D9" t="s">
        <v>43</v>
      </c>
      <c r="E9" s="3">
        <v>44725</v>
      </c>
      <c r="F9" s="3" t="str">
        <f t="shared" si="0"/>
        <v>13-Jun</v>
      </c>
      <c r="G9" s="3" t="str">
        <f t="shared" si="1"/>
        <v>Monday</v>
      </c>
      <c r="H9" t="s">
        <v>24</v>
      </c>
      <c r="I9" t="s">
        <v>19</v>
      </c>
      <c r="J9" t="s">
        <v>47</v>
      </c>
      <c r="K9" t="s">
        <v>26</v>
      </c>
      <c r="L9">
        <v>9</v>
      </c>
    </row>
    <row r="10" spans="1:12">
      <c r="A10">
        <v>9</v>
      </c>
      <c r="B10" t="s">
        <v>48</v>
      </c>
      <c r="C10" t="s">
        <v>45</v>
      </c>
      <c r="D10" t="s">
        <v>49</v>
      </c>
      <c r="E10" s="3">
        <v>44736</v>
      </c>
      <c r="F10" s="3" t="str">
        <f t="shared" si="0"/>
        <v>24-Jun</v>
      </c>
      <c r="G10" s="3" t="str">
        <f t="shared" si="1"/>
        <v>Friday</v>
      </c>
      <c r="H10" t="s">
        <v>24</v>
      </c>
      <c r="I10" t="s">
        <v>30</v>
      </c>
      <c r="J10" t="s">
        <v>50</v>
      </c>
      <c r="K10" t="s">
        <v>32</v>
      </c>
      <c r="L10">
        <v>6</v>
      </c>
    </row>
    <row r="11" spans="1:12">
      <c r="A11">
        <v>10</v>
      </c>
      <c r="B11" t="s">
        <v>51</v>
      </c>
      <c r="C11" t="s">
        <v>48</v>
      </c>
      <c r="D11" t="s">
        <v>40</v>
      </c>
      <c r="E11" s="3">
        <v>44725</v>
      </c>
      <c r="F11" s="3" t="str">
        <f t="shared" si="0"/>
        <v>13-Jun</v>
      </c>
      <c r="G11" s="3" t="str">
        <f t="shared" si="1"/>
        <v>Monday</v>
      </c>
      <c r="H11" t="s">
        <v>18</v>
      </c>
      <c r="I11" t="s">
        <v>19</v>
      </c>
      <c r="J11" t="s">
        <v>52</v>
      </c>
      <c r="K11" t="s">
        <v>21</v>
      </c>
      <c r="L11">
        <v>9</v>
      </c>
    </row>
    <row r="12" spans="1:12">
      <c r="A12">
        <v>11</v>
      </c>
      <c r="B12" t="s">
        <v>53</v>
      </c>
      <c r="C12" t="s">
        <v>51</v>
      </c>
      <c r="D12" t="s">
        <v>54</v>
      </c>
      <c r="E12" s="3">
        <v>44734</v>
      </c>
      <c r="F12" s="3" t="str">
        <f t="shared" si="0"/>
        <v>22-Jun</v>
      </c>
      <c r="G12" s="3" t="str">
        <f t="shared" si="1"/>
        <v>Wednesday</v>
      </c>
      <c r="H12" t="s">
        <v>24</v>
      </c>
      <c r="I12" t="s">
        <v>19</v>
      </c>
      <c r="J12" t="s">
        <v>55</v>
      </c>
      <c r="K12" t="s">
        <v>26</v>
      </c>
      <c r="L12">
        <v>9</v>
      </c>
    </row>
    <row r="13" spans="1:12">
      <c r="A13">
        <v>12</v>
      </c>
      <c r="B13" t="s">
        <v>56</v>
      </c>
      <c r="C13" t="s">
        <v>53</v>
      </c>
      <c r="D13" t="s">
        <v>57</v>
      </c>
      <c r="E13" s="3">
        <v>44731</v>
      </c>
      <c r="F13" s="3" t="str">
        <f t="shared" si="0"/>
        <v>19-Jun</v>
      </c>
      <c r="G13" s="3" t="str">
        <f t="shared" si="1"/>
        <v>Sunday</v>
      </c>
      <c r="H13" t="s">
        <v>29</v>
      </c>
      <c r="I13" t="s">
        <v>19</v>
      </c>
      <c r="J13" t="s">
        <v>58</v>
      </c>
      <c r="K13" t="s">
        <v>32</v>
      </c>
      <c r="L13">
        <v>3</v>
      </c>
    </row>
    <row r="14" spans="1:12">
      <c r="A14">
        <v>13</v>
      </c>
      <c r="B14" t="s">
        <v>59</v>
      </c>
      <c r="C14" t="s">
        <v>56</v>
      </c>
      <c r="D14" t="s">
        <v>60</v>
      </c>
      <c r="E14" s="3">
        <v>44730</v>
      </c>
      <c r="F14" s="3" t="str">
        <f t="shared" si="0"/>
        <v>18-Jun</v>
      </c>
      <c r="G14" s="3" t="str">
        <f t="shared" si="1"/>
        <v>Saturday</v>
      </c>
      <c r="H14" t="s">
        <v>18</v>
      </c>
      <c r="I14" t="s">
        <v>19</v>
      </c>
      <c r="J14" t="s">
        <v>61</v>
      </c>
      <c r="K14" t="s">
        <v>21</v>
      </c>
      <c r="L14">
        <v>2</v>
      </c>
    </row>
    <row r="15" spans="1:12">
      <c r="A15">
        <v>14</v>
      </c>
      <c r="B15" t="s">
        <v>62</v>
      </c>
      <c r="C15" t="s">
        <v>59</v>
      </c>
      <c r="D15" t="s">
        <v>63</v>
      </c>
      <c r="E15" s="3">
        <v>44735</v>
      </c>
      <c r="F15" s="3" t="str">
        <f t="shared" si="0"/>
        <v>23-Jun</v>
      </c>
      <c r="G15" s="3" t="str">
        <f t="shared" si="1"/>
        <v>Thursday</v>
      </c>
      <c r="H15" t="s">
        <v>24</v>
      </c>
      <c r="I15" t="s">
        <v>19</v>
      </c>
      <c r="J15" t="s">
        <v>64</v>
      </c>
      <c r="K15" t="s">
        <v>26</v>
      </c>
      <c r="L15">
        <v>3</v>
      </c>
    </row>
    <row r="16" spans="1:12">
      <c r="A16">
        <v>15</v>
      </c>
      <c r="B16" t="s">
        <v>65</v>
      </c>
      <c r="C16" t="s">
        <v>62</v>
      </c>
      <c r="D16" t="s">
        <v>40</v>
      </c>
      <c r="E16" s="3">
        <v>44738</v>
      </c>
      <c r="F16" s="3" t="str">
        <f t="shared" si="0"/>
        <v>26-Jun</v>
      </c>
      <c r="G16" s="3" t="str">
        <f t="shared" si="1"/>
        <v>Sunday</v>
      </c>
      <c r="H16" t="s">
        <v>29</v>
      </c>
      <c r="I16" t="s">
        <v>30</v>
      </c>
      <c r="J16" t="s">
        <v>66</v>
      </c>
      <c r="K16" t="s">
        <v>32</v>
      </c>
      <c r="L16">
        <v>10</v>
      </c>
    </row>
    <row r="17" spans="1:12">
      <c r="A17">
        <v>16</v>
      </c>
      <c r="B17" t="s">
        <v>67</v>
      </c>
      <c r="C17" t="s">
        <v>65</v>
      </c>
      <c r="D17" t="s">
        <v>68</v>
      </c>
      <c r="E17" s="3">
        <v>44738</v>
      </c>
      <c r="F17" s="3" t="str">
        <f t="shared" si="0"/>
        <v>26-Jun</v>
      </c>
      <c r="G17" s="3" t="str">
        <f t="shared" si="1"/>
        <v>Sunday</v>
      </c>
      <c r="H17" t="s">
        <v>18</v>
      </c>
      <c r="I17" t="s">
        <v>19</v>
      </c>
      <c r="J17" t="s">
        <v>69</v>
      </c>
      <c r="K17" t="s">
        <v>21</v>
      </c>
      <c r="L17">
        <v>3</v>
      </c>
    </row>
    <row r="18" spans="1:12">
      <c r="A18">
        <v>17</v>
      </c>
      <c r="B18" t="s">
        <v>70</v>
      </c>
      <c r="C18" t="s">
        <v>67</v>
      </c>
      <c r="D18" t="s">
        <v>57</v>
      </c>
      <c r="E18" s="3">
        <v>44725</v>
      </c>
      <c r="F18" s="3" t="str">
        <f t="shared" si="0"/>
        <v>13-Jun</v>
      </c>
      <c r="G18" s="3" t="str">
        <f t="shared" si="1"/>
        <v>Monday</v>
      </c>
      <c r="H18" t="s">
        <v>24</v>
      </c>
      <c r="I18" t="s">
        <v>19</v>
      </c>
      <c r="J18" t="s">
        <v>71</v>
      </c>
      <c r="K18" t="s">
        <v>26</v>
      </c>
      <c r="L18">
        <v>1</v>
      </c>
    </row>
    <row r="19" spans="1:12">
      <c r="A19">
        <v>18</v>
      </c>
      <c r="B19" t="s">
        <v>72</v>
      </c>
      <c r="C19" t="s">
        <v>70</v>
      </c>
      <c r="D19" t="s">
        <v>37</v>
      </c>
      <c r="E19" s="3">
        <v>44730</v>
      </c>
      <c r="F19" s="3" t="str">
        <f t="shared" si="0"/>
        <v>18-Jun</v>
      </c>
      <c r="G19" s="3" t="str">
        <f t="shared" si="1"/>
        <v>Saturday</v>
      </c>
      <c r="H19" t="s">
        <v>29</v>
      </c>
      <c r="I19" t="s">
        <v>19</v>
      </c>
      <c r="J19" t="s">
        <v>73</v>
      </c>
      <c r="K19" t="s">
        <v>32</v>
      </c>
      <c r="L19">
        <v>5</v>
      </c>
    </row>
    <row r="20" spans="1:12">
      <c r="A20">
        <v>19</v>
      </c>
      <c r="B20" t="s">
        <v>74</v>
      </c>
      <c r="C20" t="s">
        <v>72</v>
      </c>
      <c r="D20" t="s">
        <v>75</v>
      </c>
      <c r="E20" s="3">
        <v>44738</v>
      </c>
      <c r="F20" s="3" t="str">
        <f t="shared" si="0"/>
        <v>26-Jun</v>
      </c>
      <c r="G20" s="3" t="str">
        <f t="shared" si="1"/>
        <v>Sunday</v>
      </c>
      <c r="H20" t="s">
        <v>18</v>
      </c>
      <c r="I20" t="s">
        <v>19</v>
      </c>
      <c r="J20" t="s">
        <v>76</v>
      </c>
      <c r="K20" t="s">
        <v>21</v>
      </c>
      <c r="L20">
        <v>1</v>
      </c>
    </row>
    <row r="21" spans="1:12">
      <c r="A21">
        <v>20</v>
      </c>
      <c r="B21" t="s">
        <v>77</v>
      </c>
      <c r="C21" t="s">
        <v>74</v>
      </c>
      <c r="D21" t="s">
        <v>78</v>
      </c>
      <c r="E21" s="3">
        <v>44730</v>
      </c>
      <c r="F21" s="3" t="str">
        <f t="shared" si="0"/>
        <v>18-Jun</v>
      </c>
      <c r="G21" s="3" t="str">
        <f t="shared" si="1"/>
        <v>Saturday</v>
      </c>
      <c r="H21" t="s">
        <v>24</v>
      </c>
      <c r="I21" t="s">
        <v>19</v>
      </c>
      <c r="J21" t="s">
        <v>79</v>
      </c>
      <c r="K21" t="s">
        <v>26</v>
      </c>
      <c r="L21">
        <v>5</v>
      </c>
    </row>
    <row r="22" spans="1:12">
      <c r="A22">
        <v>21</v>
      </c>
      <c r="B22" t="s">
        <v>80</v>
      </c>
      <c r="C22" t="s">
        <v>77</v>
      </c>
      <c r="D22" t="s">
        <v>81</v>
      </c>
      <c r="E22" s="3">
        <v>44738</v>
      </c>
      <c r="F22" s="3" t="str">
        <f t="shared" si="0"/>
        <v>26-Jun</v>
      </c>
      <c r="G22" s="3" t="str">
        <f t="shared" si="1"/>
        <v>Sunday</v>
      </c>
      <c r="H22" t="s">
        <v>24</v>
      </c>
      <c r="I22" t="s">
        <v>30</v>
      </c>
      <c r="J22" t="s">
        <v>82</v>
      </c>
      <c r="K22" t="s">
        <v>32</v>
      </c>
      <c r="L22">
        <v>5</v>
      </c>
    </row>
    <row r="23" spans="1:12">
      <c r="A23">
        <v>22</v>
      </c>
      <c r="B23" t="s">
        <v>83</v>
      </c>
      <c r="C23" t="s">
        <v>80</v>
      </c>
      <c r="D23" t="s">
        <v>84</v>
      </c>
      <c r="E23" s="3">
        <v>44734</v>
      </c>
      <c r="F23" s="3" t="str">
        <f t="shared" si="0"/>
        <v>22-Jun</v>
      </c>
      <c r="G23" s="3" t="str">
        <f t="shared" si="1"/>
        <v>Wednesday</v>
      </c>
      <c r="H23" t="s">
        <v>18</v>
      </c>
      <c r="I23" t="s">
        <v>19</v>
      </c>
      <c r="J23" t="s">
        <v>85</v>
      </c>
      <c r="K23" t="s">
        <v>21</v>
      </c>
      <c r="L23">
        <v>3</v>
      </c>
    </row>
    <row r="24" spans="1:12">
      <c r="A24">
        <v>23</v>
      </c>
      <c r="B24" t="s">
        <v>86</v>
      </c>
      <c r="C24" t="s">
        <v>83</v>
      </c>
      <c r="D24" t="s">
        <v>87</v>
      </c>
      <c r="E24" s="3">
        <v>44729</v>
      </c>
      <c r="F24" s="3" t="str">
        <f t="shared" si="0"/>
        <v>17-Jun</v>
      </c>
      <c r="G24" s="3" t="str">
        <f t="shared" si="1"/>
        <v>Friday</v>
      </c>
      <c r="H24" t="s">
        <v>24</v>
      </c>
      <c r="I24" t="s">
        <v>19</v>
      </c>
      <c r="J24" t="s">
        <v>88</v>
      </c>
      <c r="K24" t="s">
        <v>26</v>
      </c>
      <c r="L24">
        <v>3</v>
      </c>
    </row>
    <row r="25" spans="1:12">
      <c r="A25">
        <v>24</v>
      </c>
      <c r="B25" t="s">
        <v>89</v>
      </c>
      <c r="C25" t="s">
        <v>86</v>
      </c>
      <c r="D25" t="s">
        <v>90</v>
      </c>
      <c r="E25" s="3">
        <v>44730</v>
      </c>
      <c r="F25" s="3" t="str">
        <f t="shared" si="0"/>
        <v>18-Jun</v>
      </c>
      <c r="G25" s="3" t="str">
        <f t="shared" si="1"/>
        <v>Saturday</v>
      </c>
      <c r="H25" t="s">
        <v>29</v>
      </c>
      <c r="I25" t="s">
        <v>19</v>
      </c>
      <c r="J25" t="s">
        <v>91</v>
      </c>
      <c r="K25" t="s">
        <v>32</v>
      </c>
      <c r="L25">
        <v>7</v>
      </c>
    </row>
    <row r="26" spans="1:12">
      <c r="A26">
        <v>25</v>
      </c>
      <c r="B26" t="s">
        <v>92</v>
      </c>
      <c r="C26" t="s">
        <v>89</v>
      </c>
      <c r="D26" t="s">
        <v>93</v>
      </c>
      <c r="E26" s="3">
        <v>44728</v>
      </c>
      <c r="F26" s="3" t="str">
        <f t="shared" si="0"/>
        <v>16-Jun</v>
      </c>
      <c r="G26" s="3" t="str">
        <f t="shared" si="1"/>
        <v>Thursday</v>
      </c>
      <c r="H26" t="s">
        <v>18</v>
      </c>
      <c r="I26" t="s">
        <v>19</v>
      </c>
      <c r="J26" t="s">
        <v>94</v>
      </c>
      <c r="K26" t="s">
        <v>21</v>
      </c>
      <c r="L26">
        <v>4</v>
      </c>
    </row>
    <row r="27" spans="1:12">
      <c r="A27">
        <v>26</v>
      </c>
      <c r="B27" t="s">
        <v>95</v>
      </c>
      <c r="C27" t="s">
        <v>92</v>
      </c>
      <c r="D27" t="s">
        <v>96</v>
      </c>
      <c r="E27" s="3">
        <v>44735</v>
      </c>
      <c r="F27" s="3" t="str">
        <f t="shared" si="0"/>
        <v>23-Jun</v>
      </c>
      <c r="G27" s="3" t="str">
        <f t="shared" si="1"/>
        <v>Thursday</v>
      </c>
      <c r="H27" t="s">
        <v>24</v>
      </c>
      <c r="I27" t="s">
        <v>19</v>
      </c>
      <c r="J27" t="s">
        <v>97</v>
      </c>
      <c r="K27" t="s">
        <v>26</v>
      </c>
      <c r="L27">
        <v>3</v>
      </c>
    </row>
    <row r="28" spans="1:12">
      <c r="A28">
        <v>27</v>
      </c>
      <c r="B28" t="s">
        <v>98</v>
      </c>
      <c r="C28" t="s">
        <v>95</v>
      </c>
      <c r="D28" t="s">
        <v>99</v>
      </c>
      <c r="E28" s="3">
        <v>44738</v>
      </c>
      <c r="F28" s="3" t="str">
        <f t="shared" si="0"/>
        <v>26-Jun</v>
      </c>
      <c r="G28" s="3" t="str">
        <f t="shared" si="1"/>
        <v>Sunday</v>
      </c>
      <c r="H28" t="s">
        <v>29</v>
      </c>
      <c r="I28" t="s">
        <v>30</v>
      </c>
      <c r="J28" t="s">
        <v>100</v>
      </c>
      <c r="K28" t="s">
        <v>32</v>
      </c>
      <c r="L28">
        <v>8</v>
      </c>
    </row>
    <row r="29" spans="1:12">
      <c r="A29">
        <v>28</v>
      </c>
      <c r="B29" t="s">
        <v>101</v>
      </c>
      <c r="C29" t="s">
        <v>102</v>
      </c>
      <c r="D29" t="s">
        <v>103</v>
      </c>
      <c r="E29" s="3">
        <v>44738</v>
      </c>
      <c r="F29" s="3" t="str">
        <f t="shared" si="0"/>
        <v>26-Jun</v>
      </c>
      <c r="G29" s="3" t="str">
        <f t="shared" si="1"/>
        <v>Sunday</v>
      </c>
      <c r="H29" t="s">
        <v>18</v>
      </c>
      <c r="I29" t="s">
        <v>19</v>
      </c>
      <c r="J29" t="s">
        <v>104</v>
      </c>
      <c r="K29" t="s">
        <v>21</v>
      </c>
      <c r="L29">
        <v>2</v>
      </c>
    </row>
    <row r="30" spans="1:12">
      <c r="A30">
        <v>29</v>
      </c>
      <c r="B30" t="s">
        <v>105</v>
      </c>
      <c r="C30" t="s">
        <v>101</v>
      </c>
      <c r="D30" t="s">
        <v>106</v>
      </c>
      <c r="E30" s="3">
        <v>44734</v>
      </c>
      <c r="F30" s="3" t="str">
        <f t="shared" si="0"/>
        <v>22-Jun</v>
      </c>
      <c r="G30" s="3" t="str">
        <f t="shared" si="1"/>
        <v>Wednesday</v>
      </c>
      <c r="H30" t="s">
        <v>24</v>
      </c>
      <c r="I30" t="s">
        <v>19</v>
      </c>
      <c r="J30" t="s">
        <v>107</v>
      </c>
      <c r="K30" t="s">
        <v>26</v>
      </c>
      <c r="L30">
        <v>9</v>
      </c>
    </row>
    <row r="31" spans="1:12">
      <c r="A31">
        <v>30</v>
      </c>
      <c r="B31" t="s">
        <v>108</v>
      </c>
      <c r="C31" t="s">
        <v>105</v>
      </c>
      <c r="D31" t="s">
        <v>109</v>
      </c>
      <c r="E31" s="3">
        <v>44727</v>
      </c>
      <c r="F31" s="3" t="str">
        <f t="shared" si="0"/>
        <v>15-Jun</v>
      </c>
      <c r="G31" s="3" t="str">
        <f t="shared" si="1"/>
        <v>Wednesday</v>
      </c>
      <c r="H31" t="s">
        <v>29</v>
      </c>
      <c r="I31" t="s">
        <v>19</v>
      </c>
      <c r="J31" t="s">
        <v>110</v>
      </c>
      <c r="K31" t="s">
        <v>32</v>
      </c>
      <c r="L31">
        <v>6</v>
      </c>
    </row>
    <row r="32" spans="1:12">
      <c r="A32">
        <v>31</v>
      </c>
      <c r="B32" t="s">
        <v>111</v>
      </c>
      <c r="C32" t="s">
        <v>108</v>
      </c>
      <c r="D32" t="s">
        <v>112</v>
      </c>
      <c r="E32" s="3">
        <v>44729</v>
      </c>
      <c r="F32" s="3" t="str">
        <f t="shared" si="0"/>
        <v>17-Jun</v>
      </c>
      <c r="G32" s="3" t="str">
        <f t="shared" si="1"/>
        <v>Friday</v>
      </c>
      <c r="H32" t="s">
        <v>18</v>
      </c>
      <c r="I32" t="s">
        <v>19</v>
      </c>
      <c r="J32" t="s">
        <v>113</v>
      </c>
      <c r="K32" t="s">
        <v>21</v>
      </c>
      <c r="L32">
        <v>7</v>
      </c>
    </row>
    <row r="33" spans="1:12">
      <c r="A33">
        <v>32</v>
      </c>
      <c r="B33" t="s">
        <v>114</v>
      </c>
      <c r="C33" t="s">
        <v>111</v>
      </c>
      <c r="D33" t="s">
        <v>115</v>
      </c>
      <c r="E33" s="3">
        <v>44726</v>
      </c>
      <c r="F33" s="3" t="str">
        <f t="shared" si="0"/>
        <v>14-Jun</v>
      </c>
      <c r="G33" s="3" t="str">
        <f t="shared" si="1"/>
        <v>Tuesday</v>
      </c>
      <c r="H33" t="s">
        <v>24</v>
      </c>
      <c r="I33" t="s">
        <v>19</v>
      </c>
      <c r="J33" t="s">
        <v>116</v>
      </c>
      <c r="K33" t="s">
        <v>26</v>
      </c>
      <c r="L33">
        <v>9</v>
      </c>
    </row>
    <row r="34" spans="1:12">
      <c r="A34">
        <v>33</v>
      </c>
      <c r="B34" t="s">
        <v>117</v>
      </c>
      <c r="C34" t="s">
        <v>114</v>
      </c>
      <c r="D34" t="s">
        <v>63</v>
      </c>
      <c r="E34" s="3">
        <v>44733</v>
      </c>
      <c r="F34" s="3" t="str">
        <f t="shared" si="0"/>
        <v>21-Jun</v>
      </c>
      <c r="G34" s="3" t="str">
        <f t="shared" si="1"/>
        <v>Tuesday</v>
      </c>
      <c r="H34" t="s">
        <v>24</v>
      </c>
      <c r="I34" t="s">
        <v>30</v>
      </c>
      <c r="J34" t="s">
        <v>118</v>
      </c>
      <c r="K34" t="s">
        <v>32</v>
      </c>
      <c r="L34">
        <v>2</v>
      </c>
    </row>
    <row r="35" spans="1:12">
      <c r="A35">
        <v>34</v>
      </c>
      <c r="B35" t="s">
        <v>119</v>
      </c>
      <c r="C35" t="s">
        <v>120</v>
      </c>
      <c r="D35" t="s">
        <v>87</v>
      </c>
      <c r="E35" s="3">
        <v>44730</v>
      </c>
      <c r="F35" s="3" t="str">
        <f t="shared" si="0"/>
        <v>18-Jun</v>
      </c>
      <c r="G35" s="3" t="str">
        <f t="shared" si="1"/>
        <v>Saturday</v>
      </c>
      <c r="H35" t="s">
        <v>18</v>
      </c>
      <c r="I35" t="s">
        <v>19</v>
      </c>
      <c r="J35" t="s">
        <v>121</v>
      </c>
      <c r="K35" t="s">
        <v>21</v>
      </c>
      <c r="L35">
        <v>9</v>
      </c>
    </row>
    <row r="36" spans="1:12">
      <c r="A36">
        <v>35</v>
      </c>
      <c r="B36" t="s">
        <v>122</v>
      </c>
      <c r="C36" t="s">
        <v>98</v>
      </c>
      <c r="D36" t="s">
        <v>103</v>
      </c>
      <c r="E36" s="3">
        <v>44736</v>
      </c>
      <c r="F36" s="3" t="str">
        <f t="shared" si="0"/>
        <v>24-Jun</v>
      </c>
      <c r="G36" s="3" t="str">
        <f t="shared" si="1"/>
        <v>Friday</v>
      </c>
      <c r="H36" t="s">
        <v>24</v>
      </c>
      <c r="I36" t="s">
        <v>19</v>
      </c>
      <c r="J36" t="s">
        <v>123</v>
      </c>
      <c r="K36" t="s">
        <v>26</v>
      </c>
      <c r="L36">
        <v>10</v>
      </c>
    </row>
    <row r="37" spans="1:12">
      <c r="A37">
        <v>36</v>
      </c>
      <c r="B37" t="s">
        <v>124</v>
      </c>
      <c r="C37" t="s">
        <v>117</v>
      </c>
      <c r="D37" t="s">
        <v>37</v>
      </c>
      <c r="E37" s="3">
        <v>44732</v>
      </c>
      <c r="F37" s="3" t="str">
        <f t="shared" si="0"/>
        <v>20-Jun</v>
      </c>
      <c r="G37" s="3" t="str">
        <f t="shared" si="1"/>
        <v>Monday</v>
      </c>
      <c r="H37" t="s">
        <v>29</v>
      </c>
      <c r="I37" t="s">
        <v>19</v>
      </c>
      <c r="J37" t="s">
        <v>125</v>
      </c>
      <c r="K37" t="s">
        <v>32</v>
      </c>
      <c r="L37">
        <v>1</v>
      </c>
    </row>
    <row r="38" spans="1:12">
      <c r="A38">
        <v>37</v>
      </c>
      <c r="B38" t="s">
        <v>126</v>
      </c>
      <c r="C38" t="s">
        <v>119</v>
      </c>
      <c r="D38" t="s">
        <v>68</v>
      </c>
      <c r="E38" s="3">
        <v>44732</v>
      </c>
      <c r="F38" s="3" t="str">
        <f t="shared" si="0"/>
        <v>20-Jun</v>
      </c>
      <c r="G38" s="3" t="str">
        <f t="shared" si="1"/>
        <v>Monday</v>
      </c>
      <c r="H38" t="s">
        <v>18</v>
      </c>
      <c r="I38" t="s">
        <v>19</v>
      </c>
      <c r="J38" t="s">
        <v>127</v>
      </c>
      <c r="K38" t="s">
        <v>21</v>
      </c>
      <c r="L38">
        <v>1</v>
      </c>
    </row>
    <row r="39" spans="1:12">
      <c r="A39">
        <v>38</v>
      </c>
      <c r="B39" t="s">
        <v>128</v>
      </c>
      <c r="C39" t="s">
        <v>122</v>
      </c>
      <c r="D39" t="s">
        <v>109</v>
      </c>
      <c r="E39" s="3">
        <v>44731</v>
      </c>
      <c r="F39" s="3" t="str">
        <f t="shared" si="0"/>
        <v>19-Jun</v>
      </c>
      <c r="G39" s="3" t="str">
        <f t="shared" si="1"/>
        <v>Sunday</v>
      </c>
      <c r="H39" t="s">
        <v>24</v>
      </c>
      <c r="I39" t="s">
        <v>19</v>
      </c>
      <c r="J39" t="s">
        <v>129</v>
      </c>
      <c r="K39" t="s">
        <v>26</v>
      </c>
      <c r="L39">
        <v>10</v>
      </c>
    </row>
    <row r="40" spans="1:12">
      <c r="A40">
        <v>39</v>
      </c>
      <c r="B40" t="s">
        <v>130</v>
      </c>
      <c r="C40" t="s">
        <v>131</v>
      </c>
      <c r="D40" t="s">
        <v>112</v>
      </c>
      <c r="E40" s="3">
        <v>44735</v>
      </c>
      <c r="F40" s="3" t="str">
        <f t="shared" si="0"/>
        <v>23-Jun</v>
      </c>
      <c r="G40" s="3" t="str">
        <f t="shared" si="1"/>
        <v>Thursday</v>
      </c>
      <c r="H40" t="s">
        <v>24</v>
      </c>
      <c r="I40" t="s">
        <v>30</v>
      </c>
      <c r="J40" t="s">
        <v>132</v>
      </c>
      <c r="K40" t="s">
        <v>32</v>
      </c>
      <c r="L40">
        <v>4</v>
      </c>
    </row>
    <row r="41" spans="1:12">
      <c r="A41">
        <v>40</v>
      </c>
      <c r="B41" t="s">
        <v>133</v>
      </c>
      <c r="C41" t="s">
        <v>124</v>
      </c>
      <c r="D41" t="s">
        <v>134</v>
      </c>
      <c r="E41" s="3">
        <v>44728</v>
      </c>
      <c r="F41" s="3" t="str">
        <f t="shared" si="0"/>
        <v>16-Jun</v>
      </c>
      <c r="G41" s="3" t="str">
        <f t="shared" si="1"/>
        <v>Thursday</v>
      </c>
      <c r="H41" t="s">
        <v>18</v>
      </c>
      <c r="I41" t="s">
        <v>19</v>
      </c>
      <c r="J41" t="s">
        <v>135</v>
      </c>
      <c r="K41" t="s">
        <v>21</v>
      </c>
      <c r="L41">
        <v>7</v>
      </c>
    </row>
    <row r="42" spans="1:12">
      <c r="A42">
        <v>41</v>
      </c>
      <c r="B42" t="s">
        <v>136</v>
      </c>
      <c r="C42" t="s">
        <v>126</v>
      </c>
      <c r="D42" t="s">
        <v>54</v>
      </c>
      <c r="E42" s="3">
        <v>44727</v>
      </c>
      <c r="F42" s="3" t="str">
        <f t="shared" si="0"/>
        <v>15-Jun</v>
      </c>
      <c r="G42" s="3" t="str">
        <f t="shared" si="1"/>
        <v>Wednesday</v>
      </c>
      <c r="H42" t="s">
        <v>24</v>
      </c>
      <c r="I42" t="s">
        <v>19</v>
      </c>
      <c r="J42" t="s">
        <v>137</v>
      </c>
      <c r="K42" t="s">
        <v>26</v>
      </c>
      <c r="L42">
        <v>3</v>
      </c>
    </row>
    <row r="43" spans="1:12">
      <c r="A43">
        <v>42</v>
      </c>
      <c r="B43" t="s">
        <v>138</v>
      </c>
      <c r="C43" t="s">
        <v>128</v>
      </c>
      <c r="D43" t="s">
        <v>139</v>
      </c>
      <c r="E43" s="3">
        <v>44731</v>
      </c>
      <c r="F43" s="3" t="str">
        <f t="shared" si="0"/>
        <v>19-Jun</v>
      </c>
      <c r="G43" s="3" t="str">
        <f t="shared" si="1"/>
        <v>Sunday</v>
      </c>
      <c r="H43" t="s">
        <v>29</v>
      </c>
      <c r="I43" t="s">
        <v>19</v>
      </c>
      <c r="J43" t="s">
        <v>140</v>
      </c>
      <c r="K43" t="s">
        <v>32</v>
      </c>
      <c r="L43">
        <v>6</v>
      </c>
    </row>
    <row r="44" spans="1:12">
      <c r="A44">
        <v>43</v>
      </c>
      <c r="B44" t="s">
        <v>141</v>
      </c>
      <c r="C44" t="s">
        <v>130</v>
      </c>
      <c r="D44" t="s">
        <v>142</v>
      </c>
      <c r="E44" s="3">
        <v>44732</v>
      </c>
      <c r="F44" s="3" t="str">
        <f t="shared" si="0"/>
        <v>20-Jun</v>
      </c>
      <c r="G44" s="3" t="str">
        <f t="shared" si="1"/>
        <v>Monday</v>
      </c>
      <c r="H44" t="s">
        <v>18</v>
      </c>
      <c r="I44" t="s">
        <v>19</v>
      </c>
      <c r="J44" t="s">
        <v>143</v>
      </c>
      <c r="K44" t="s">
        <v>21</v>
      </c>
      <c r="L44">
        <v>6</v>
      </c>
    </row>
    <row r="45" spans="1:12">
      <c r="A45">
        <v>44</v>
      </c>
      <c r="B45" t="s">
        <v>144</v>
      </c>
      <c r="C45" t="s">
        <v>133</v>
      </c>
      <c r="D45" t="s">
        <v>145</v>
      </c>
      <c r="E45" s="3">
        <v>44738</v>
      </c>
      <c r="F45" s="3" t="str">
        <f t="shared" si="0"/>
        <v>26-Jun</v>
      </c>
      <c r="G45" s="3" t="str">
        <f t="shared" si="1"/>
        <v>Sunday</v>
      </c>
      <c r="H45" t="s">
        <v>24</v>
      </c>
      <c r="I45" t="s">
        <v>19</v>
      </c>
      <c r="J45" t="s">
        <v>146</v>
      </c>
      <c r="K45" t="s">
        <v>26</v>
      </c>
      <c r="L45">
        <v>5</v>
      </c>
    </row>
    <row r="46" spans="1:12">
      <c r="A46">
        <v>45</v>
      </c>
      <c r="B46" t="s">
        <v>147</v>
      </c>
      <c r="C46" t="s">
        <v>136</v>
      </c>
      <c r="D46" t="s">
        <v>148</v>
      </c>
      <c r="E46" s="3">
        <v>44730</v>
      </c>
      <c r="F46" s="3" t="str">
        <f t="shared" si="0"/>
        <v>18-Jun</v>
      </c>
      <c r="G46" s="3" t="str">
        <f t="shared" si="1"/>
        <v>Saturday</v>
      </c>
      <c r="H46" t="s">
        <v>29</v>
      </c>
      <c r="I46" t="s">
        <v>30</v>
      </c>
      <c r="J46" t="s">
        <v>149</v>
      </c>
      <c r="K46" t="s">
        <v>32</v>
      </c>
      <c r="L46">
        <v>1</v>
      </c>
    </row>
    <row r="47" spans="1:12">
      <c r="A47">
        <v>46</v>
      </c>
      <c r="B47" t="s">
        <v>150</v>
      </c>
      <c r="C47" t="s">
        <v>138</v>
      </c>
      <c r="D47" t="s">
        <v>151</v>
      </c>
      <c r="E47" s="3">
        <v>44736</v>
      </c>
      <c r="F47" s="3" t="str">
        <f t="shared" si="0"/>
        <v>24-Jun</v>
      </c>
      <c r="G47" s="3" t="str">
        <f t="shared" si="1"/>
        <v>Friday</v>
      </c>
      <c r="H47" t="s">
        <v>18</v>
      </c>
      <c r="I47" t="s">
        <v>19</v>
      </c>
      <c r="J47" t="s">
        <v>152</v>
      </c>
      <c r="K47" t="s">
        <v>21</v>
      </c>
      <c r="L47">
        <v>9</v>
      </c>
    </row>
    <row r="48" spans="1:12">
      <c r="A48">
        <v>47</v>
      </c>
      <c r="B48" t="s">
        <v>153</v>
      </c>
      <c r="C48" t="s">
        <v>141</v>
      </c>
      <c r="D48" t="s">
        <v>154</v>
      </c>
      <c r="E48" s="3">
        <v>44733</v>
      </c>
      <c r="F48" s="3" t="str">
        <f t="shared" si="0"/>
        <v>21-Jun</v>
      </c>
      <c r="G48" s="3" t="str">
        <f t="shared" si="1"/>
        <v>Tuesday</v>
      </c>
      <c r="H48" t="s">
        <v>24</v>
      </c>
      <c r="I48" t="s">
        <v>19</v>
      </c>
      <c r="J48" t="s">
        <v>155</v>
      </c>
      <c r="K48" t="s">
        <v>26</v>
      </c>
      <c r="L48">
        <v>3</v>
      </c>
    </row>
    <row r="49" spans="1:12">
      <c r="A49">
        <v>48</v>
      </c>
      <c r="B49" t="s">
        <v>156</v>
      </c>
      <c r="C49" t="s">
        <v>144</v>
      </c>
      <c r="D49" t="s">
        <v>157</v>
      </c>
      <c r="E49" s="3">
        <v>44746</v>
      </c>
      <c r="F49" s="3" t="str">
        <f t="shared" si="0"/>
        <v>04-Jul</v>
      </c>
      <c r="G49" s="3" t="str">
        <f t="shared" si="1"/>
        <v>Monday</v>
      </c>
      <c r="H49" t="s">
        <v>24</v>
      </c>
      <c r="I49" t="s">
        <v>19</v>
      </c>
      <c r="J49" t="s">
        <v>158</v>
      </c>
      <c r="K49" t="s">
        <v>32</v>
      </c>
      <c r="L49">
        <v>4</v>
      </c>
    </row>
    <row r="50" spans="1:12">
      <c r="A50">
        <v>49</v>
      </c>
      <c r="B50" t="s">
        <v>159</v>
      </c>
      <c r="C50" t="s">
        <v>147</v>
      </c>
      <c r="D50" t="s">
        <v>160</v>
      </c>
      <c r="E50" s="3">
        <v>44755</v>
      </c>
      <c r="F50" s="3" t="str">
        <f t="shared" si="0"/>
        <v>13-Jul</v>
      </c>
      <c r="G50" s="3" t="str">
        <f t="shared" si="1"/>
        <v>Wednesday</v>
      </c>
      <c r="H50" t="s">
        <v>18</v>
      </c>
      <c r="I50" t="s">
        <v>19</v>
      </c>
      <c r="J50" t="s">
        <v>161</v>
      </c>
      <c r="K50" t="s">
        <v>21</v>
      </c>
      <c r="L50">
        <v>8</v>
      </c>
    </row>
    <row r="51" spans="1:12">
      <c r="A51">
        <v>50</v>
      </c>
      <c r="B51" t="s">
        <v>162</v>
      </c>
      <c r="C51" t="s">
        <v>150</v>
      </c>
      <c r="D51" t="s">
        <v>163</v>
      </c>
      <c r="E51" s="3">
        <v>44755</v>
      </c>
      <c r="F51" s="3" t="str">
        <f t="shared" si="0"/>
        <v>13-Jul</v>
      </c>
      <c r="G51" s="3" t="str">
        <f t="shared" si="1"/>
        <v>Wednesday</v>
      </c>
      <c r="H51" t="s">
        <v>24</v>
      </c>
      <c r="I51" t="s">
        <v>19</v>
      </c>
      <c r="J51" t="s">
        <v>164</v>
      </c>
      <c r="K51" t="s">
        <v>21</v>
      </c>
      <c r="L51">
        <v>6</v>
      </c>
    </row>
    <row r="52" spans="1:12">
      <c r="A52">
        <v>51</v>
      </c>
      <c r="B52" t="s">
        <v>165</v>
      </c>
      <c r="C52" t="s">
        <v>153</v>
      </c>
      <c r="D52" t="s">
        <v>17</v>
      </c>
      <c r="E52" s="3">
        <v>44727</v>
      </c>
      <c r="F52" s="3" t="str">
        <f t="shared" si="0"/>
        <v>15-Jun</v>
      </c>
      <c r="G52" s="3" t="str">
        <f t="shared" si="1"/>
        <v>Wednesday</v>
      </c>
      <c r="H52" t="s">
        <v>18</v>
      </c>
      <c r="I52" t="s">
        <v>19</v>
      </c>
      <c r="J52" t="s">
        <v>166</v>
      </c>
      <c r="K52" t="s">
        <v>21</v>
      </c>
      <c r="L52">
        <v>9</v>
      </c>
    </row>
    <row r="53" spans="1:12">
      <c r="A53">
        <v>52</v>
      </c>
      <c r="B53" t="s">
        <v>167</v>
      </c>
      <c r="C53" t="s">
        <v>156</v>
      </c>
      <c r="D53" t="s">
        <v>23</v>
      </c>
      <c r="E53" s="3">
        <v>44746</v>
      </c>
      <c r="F53" s="3" t="str">
        <f t="shared" si="0"/>
        <v>04-Jul</v>
      </c>
      <c r="G53" s="3" t="str">
        <f t="shared" si="1"/>
        <v>Monday</v>
      </c>
      <c r="H53" t="s">
        <v>24</v>
      </c>
      <c r="I53" t="s">
        <v>19</v>
      </c>
      <c r="J53" t="s">
        <v>168</v>
      </c>
      <c r="K53" t="s">
        <v>26</v>
      </c>
      <c r="L53">
        <v>7</v>
      </c>
    </row>
    <row r="54" spans="1:12">
      <c r="A54">
        <v>53</v>
      </c>
      <c r="B54" t="s">
        <v>169</v>
      </c>
      <c r="C54" t="s">
        <v>159</v>
      </c>
      <c r="D54" t="s">
        <v>28</v>
      </c>
      <c r="E54" s="3">
        <v>44740</v>
      </c>
      <c r="F54" s="3" t="str">
        <f t="shared" si="0"/>
        <v>28-Jun</v>
      </c>
      <c r="G54" s="3" t="str">
        <f t="shared" si="1"/>
        <v>Tuesday</v>
      </c>
      <c r="H54" t="s">
        <v>29</v>
      </c>
      <c r="I54" t="s">
        <v>30</v>
      </c>
      <c r="J54" t="s">
        <v>170</v>
      </c>
      <c r="K54" t="s">
        <v>32</v>
      </c>
      <c r="L54">
        <v>8</v>
      </c>
    </row>
    <row r="55" spans="1:12">
      <c r="A55">
        <v>54</v>
      </c>
      <c r="B55" t="s">
        <v>171</v>
      </c>
      <c r="C55" t="s">
        <v>162</v>
      </c>
      <c r="D55" t="s">
        <v>34</v>
      </c>
      <c r="E55" s="3">
        <v>44743</v>
      </c>
      <c r="F55" s="3" t="str">
        <f t="shared" si="0"/>
        <v>01-Jul</v>
      </c>
      <c r="G55" s="3" t="str">
        <f t="shared" si="1"/>
        <v>Friday</v>
      </c>
      <c r="H55" t="s">
        <v>18</v>
      </c>
      <c r="I55" t="s">
        <v>19</v>
      </c>
      <c r="J55" t="s">
        <v>172</v>
      </c>
      <c r="K55" t="s">
        <v>21</v>
      </c>
      <c r="L55">
        <v>6</v>
      </c>
    </row>
    <row r="56" spans="1:12">
      <c r="A56">
        <v>55</v>
      </c>
      <c r="B56" t="s">
        <v>173</v>
      </c>
      <c r="C56" t="s">
        <v>165</v>
      </c>
      <c r="D56" t="s">
        <v>37</v>
      </c>
      <c r="E56" s="3">
        <v>44737</v>
      </c>
      <c r="F56" s="3" t="str">
        <f t="shared" si="0"/>
        <v>25-Jun</v>
      </c>
      <c r="G56" s="3" t="str">
        <f t="shared" si="1"/>
        <v>Saturday</v>
      </c>
      <c r="H56" t="s">
        <v>24</v>
      </c>
      <c r="I56" t="s">
        <v>19</v>
      </c>
      <c r="J56" t="s">
        <v>174</v>
      </c>
      <c r="K56" t="s">
        <v>26</v>
      </c>
      <c r="L56">
        <v>2</v>
      </c>
    </row>
    <row r="57" spans="1:12">
      <c r="A57">
        <v>56</v>
      </c>
      <c r="B57" t="s">
        <v>175</v>
      </c>
      <c r="C57" t="s">
        <v>167</v>
      </c>
      <c r="D57" t="s">
        <v>40</v>
      </c>
      <c r="E57" s="3">
        <v>44757</v>
      </c>
      <c r="F57" s="3" t="str">
        <f t="shared" si="0"/>
        <v>15-Jul</v>
      </c>
      <c r="G57" s="3" t="str">
        <f t="shared" si="1"/>
        <v>Friday</v>
      </c>
      <c r="H57" t="s">
        <v>24</v>
      </c>
      <c r="I57" t="s">
        <v>19</v>
      </c>
      <c r="J57" t="s">
        <v>176</v>
      </c>
      <c r="K57" t="s">
        <v>32</v>
      </c>
      <c r="L57">
        <v>4</v>
      </c>
    </row>
    <row r="58" spans="1:12">
      <c r="A58">
        <v>57</v>
      </c>
      <c r="B58" t="s">
        <v>177</v>
      </c>
      <c r="C58" t="s">
        <v>169</v>
      </c>
      <c r="D58" t="s">
        <v>43</v>
      </c>
      <c r="E58" s="3">
        <v>44745</v>
      </c>
      <c r="F58" s="3" t="str">
        <f t="shared" si="0"/>
        <v>03-Jul</v>
      </c>
      <c r="G58" s="3" t="str">
        <f t="shared" si="1"/>
        <v>Sunday</v>
      </c>
      <c r="H58" t="s">
        <v>18</v>
      </c>
      <c r="I58" t="s">
        <v>19</v>
      </c>
      <c r="J58" t="s">
        <v>178</v>
      </c>
      <c r="K58" t="s">
        <v>21</v>
      </c>
      <c r="L58">
        <v>1</v>
      </c>
    </row>
    <row r="59" spans="1:12">
      <c r="A59">
        <v>58</v>
      </c>
      <c r="B59" t="s">
        <v>179</v>
      </c>
      <c r="C59" t="s">
        <v>171</v>
      </c>
      <c r="D59" t="s">
        <v>43</v>
      </c>
      <c r="E59" s="3">
        <v>44760</v>
      </c>
      <c r="F59" s="3" t="str">
        <f t="shared" si="0"/>
        <v>18-Jul</v>
      </c>
      <c r="G59" s="3" t="str">
        <f t="shared" si="1"/>
        <v>Monday</v>
      </c>
      <c r="H59" t="s">
        <v>24</v>
      </c>
      <c r="I59" t="s">
        <v>19</v>
      </c>
      <c r="J59" t="s">
        <v>180</v>
      </c>
      <c r="K59" t="s">
        <v>26</v>
      </c>
      <c r="L59">
        <v>9</v>
      </c>
    </row>
    <row r="60" spans="1:12">
      <c r="A60">
        <v>59</v>
      </c>
      <c r="B60" t="s">
        <v>181</v>
      </c>
      <c r="C60" t="s">
        <v>173</v>
      </c>
      <c r="D60" t="s">
        <v>49</v>
      </c>
      <c r="E60" s="3">
        <v>44750</v>
      </c>
      <c r="F60" s="3" t="str">
        <f t="shared" si="0"/>
        <v>08-Jul</v>
      </c>
      <c r="G60" s="3" t="str">
        <f t="shared" si="1"/>
        <v>Friday</v>
      </c>
      <c r="H60" t="s">
        <v>18</v>
      </c>
      <c r="I60" t="s">
        <v>30</v>
      </c>
      <c r="J60" t="s">
        <v>182</v>
      </c>
      <c r="K60" t="s">
        <v>32</v>
      </c>
      <c r="L60">
        <v>6</v>
      </c>
    </row>
    <row r="61" spans="1:12">
      <c r="A61">
        <v>60</v>
      </c>
      <c r="B61" t="s">
        <v>183</v>
      </c>
      <c r="C61" t="s">
        <v>175</v>
      </c>
      <c r="D61" t="s">
        <v>184</v>
      </c>
      <c r="E61" s="3">
        <v>44742</v>
      </c>
      <c r="F61" s="3" t="str">
        <f t="shared" si="0"/>
        <v>30-Jun</v>
      </c>
      <c r="G61" s="3" t="str">
        <f t="shared" si="1"/>
        <v>Thursday</v>
      </c>
      <c r="H61" t="s">
        <v>24</v>
      </c>
      <c r="I61" t="s">
        <v>19</v>
      </c>
      <c r="J61" t="s">
        <v>185</v>
      </c>
      <c r="K61" t="s">
        <v>21</v>
      </c>
      <c r="L61">
        <v>9</v>
      </c>
    </row>
    <row r="62" spans="1:12">
      <c r="A62">
        <v>61</v>
      </c>
      <c r="B62" t="s">
        <v>186</v>
      </c>
      <c r="C62" t="s">
        <v>177</v>
      </c>
      <c r="D62" t="s">
        <v>54</v>
      </c>
      <c r="E62" s="3">
        <v>44754</v>
      </c>
      <c r="F62" s="3" t="str">
        <f t="shared" si="0"/>
        <v>12-Jul</v>
      </c>
      <c r="G62" s="3" t="str">
        <f t="shared" si="1"/>
        <v>Tuesday</v>
      </c>
      <c r="H62" t="s">
        <v>24</v>
      </c>
      <c r="I62" t="s">
        <v>19</v>
      </c>
      <c r="J62" t="s">
        <v>187</v>
      </c>
      <c r="K62" t="s">
        <v>26</v>
      </c>
      <c r="L62">
        <v>9</v>
      </c>
    </row>
    <row r="63" spans="1:12">
      <c r="A63">
        <v>62</v>
      </c>
      <c r="B63" t="s">
        <v>188</v>
      </c>
      <c r="C63" t="s">
        <v>179</v>
      </c>
      <c r="D63" t="s">
        <v>57</v>
      </c>
      <c r="E63" s="3">
        <v>44746</v>
      </c>
      <c r="F63" s="3" t="str">
        <f t="shared" si="0"/>
        <v>04-Jul</v>
      </c>
      <c r="G63" s="3" t="str">
        <f t="shared" si="1"/>
        <v>Monday</v>
      </c>
      <c r="H63" t="s">
        <v>18</v>
      </c>
      <c r="I63" t="s">
        <v>19</v>
      </c>
      <c r="J63" t="s">
        <v>189</v>
      </c>
      <c r="K63" t="s">
        <v>32</v>
      </c>
      <c r="L63">
        <v>3</v>
      </c>
    </row>
    <row r="64" spans="1:12">
      <c r="A64">
        <v>63</v>
      </c>
      <c r="B64" t="s">
        <v>190</v>
      </c>
      <c r="C64" t="s">
        <v>181</v>
      </c>
      <c r="D64" t="s">
        <v>60</v>
      </c>
      <c r="E64" s="3">
        <v>44752</v>
      </c>
      <c r="F64" s="3" t="str">
        <f t="shared" si="0"/>
        <v>10-Jul</v>
      </c>
      <c r="G64" s="3" t="str">
        <f t="shared" si="1"/>
        <v>Sunday</v>
      </c>
      <c r="H64" t="s">
        <v>24</v>
      </c>
      <c r="I64" t="s">
        <v>19</v>
      </c>
      <c r="J64" t="s">
        <v>191</v>
      </c>
      <c r="K64" t="s">
        <v>21</v>
      </c>
      <c r="L64">
        <v>2</v>
      </c>
    </row>
    <row r="65" spans="1:12">
      <c r="A65">
        <v>64</v>
      </c>
      <c r="B65" t="s">
        <v>192</v>
      </c>
      <c r="C65" t="s">
        <v>183</v>
      </c>
      <c r="D65" t="s">
        <v>63</v>
      </c>
      <c r="E65" s="3">
        <v>44725</v>
      </c>
      <c r="F65" s="3" t="str">
        <f t="shared" si="0"/>
        <v>13-Jun</v>
      </c>
      <c r="G65" s="3" t="str">
        <f t="shared" si="1"/>
        <v>Monday</v>
      </c>
      <c r="H65" t="s">
        <v>24</v>
      </c>
      <c r="I65" t="s">
        <v>19</v>
      </c>
      <c r="J65" t="s">
        <v>193</v>
      </c>
      <c r="K65" t="s">
        <v>26</v>
      </c>
      <c r="L65">
        <v>3</v>
      </c>
    </row>
    <row r="66" spans="1:12">
      <c r="A66">
        <v>65</v>
      </c>
      <c r="B66" t="s">
        <v>194</v>
      </c>
      <c r="C66" t="s">
        <v>186</v>
      </c>
      <c r="D66" t="s">
        <v>163</v>
      </c>
      <c r="E66" s="3">
        <v>44734</v>
      </c>
      <c r="F66" s="3" t="str">
        <f t="shared" ref="F66:F129" si="2">TEXT(E66,"dd-mmm")</f>
        <v>22-Jun</v>
      </c>
      <c r="G66" s="3" t="str">
        <f t="shared" ref="G66:G129" si="3">TEXT(E66,"dddd")</f>
        <v>Wednesday</v>
      </c>
      <c r="H66" t="s">
        <v>18</v>
      </c>
      <c r="I66" t="s">
        <v>30</v>
      </c>
      <c r="J66" t="s">
        <v>195</v>
      </c>
      <c r="K66" t="s">
        <v>32</v>
      </c>
      <c r="L66">
        <v>10</v>
      </c>
    </row>
    <row r="67" spans="1:12">
      <c r="A67">
        <v>66</v>
      </c>
      <c r="B67" t="s">
        <v>196</v>
      </c>
      <c r="C67" t="s">
        <v>188</v>
      </c>
      <c r="D67" t="s">
        <v>17</v>
      </c>
      <c r="E67" s="3">
        <v>44761</v>
      </c>
      <c r="F67" s="3" t="str">
        <f t="shared" si="2"/>
        <v>19-Jul</v>
      </c>
      <c r="G67" s="3" t="str">
        <f t="shared" si="3"/>
        <v>Tuesday</v>
      </c>
      <c r="H67" t="s">
        <v>24</v>
      </c>
      <c r="I67" t="s">
        <v>19</v>
      </c>
      <c r="J67" t="s">
        <v>197</v>
      </c>
      <c r="K67" t="s">
        <v>21</v>
      </c>
      <c r="L67">
        <v>3</v>
      </c>
    </row>
    <row r="68" spans="1:12">
      <c r="A68">
        <v>67</v>
      </c>
      <c r="B68" t="s">
        <v>198</v>
      </c>
      <c r="C68" t="s">
        <v>190</v>
      </c>
      <c r="D68" t="s">
        <v>23</v>
      </c>
      <c r="E68" s="3">
        <v>44735</v>
      </c>
      <c r="F68" s="3" t="str">
        <f t="shared" si="2"/>
        <v>23-Jun</v>
      </c>
      <c r="G68" s="3" t="str">
        <f t="shared" si="3"/>
        <v>Thursday</v>
      </c>
      <c r="H68" t="s">
        <v>18</v>
      </c>
      <c r="I68" t="s">
        <v>19</v>
      </c>
      <c r="J68" t="s">
        <v>199</v>
      </c>
      <c r="K68" t="s">
        <v>26</v>
      </c>
      <c r="L68">
        <v>1</v>
      </c>
    </row>
    <row r="69" spans="1:12">
      <c r="A69">
        <v>68</v>
      </c>
      <c r="B69" t="s">
        <v>200</v>
      </c>
      <c r="C69" t="s">
        <v>192</v>
      </c>
      <c r="D69" t="s">
        <v>28</v>
      </c>
      <c r="E69" s="3">
        <v>44753</v>
      </c>
      <c r="F69" s="3" t="str">
        <f t="shared" si="2"/>
        <v>11-Jul</v>
      </c>
      <c r="G69" s="3" t="str">
        <f t="shared" si="3"/>
        <v>Monday</v>
      </c>
      <c r="H69" t="s">
        <v>24</v>
      </c>
      <c r="I69" t="s">
        <v>19</v>
      </c>
      <c r="J69" t="s">
        <v>201</v>
      </c>
      <c r="K69" t="s">
        <v>32</v>
      </c>
      <c r="L69">
        <v>5</v>
      </c>
    </row>
    <row r="70" spans="1:12">
      <c r="A70">
        <v>69</v>
      </c>
      <c r="B70" t="s">
        <v>202</v>
      </c>
      <c r="C70" t="s">
        <v>194</v>
      </c>
      <c r="D70" t="s">
        <v>34</v>
      </c>
      <c r="E70" s="3">
        <v>44732</v>
      </c>
      <c r="F70" s="3" t="str">
        <f t="shared" si="2"/>
        <v>20-Jun</v>
      </c>
      <c r="G70" s="3" t="str">
        <f t="shared" si="3"/>
        <v>Monday</v>
      </c>
      <c r="H70" t="s">
        <v>18</v>
      </c>
      <c r="I70" t="s">
        <v>19</v>
      </c>
      <c r="J70" t="s">
        <v>203</v>
      </c>
      <c r="K70" t="s">
        <v>21</v>
      </c>
      <c r="L70">
        <v>1</v>
      </c>
    </row>
    <row r="71" spans="1:12">
      <c r="A71">
        <v>70</v>
      </c>
      <c r="B71" t="s">
        <v>204</v>
      </c>
      <c r="C71" t="s">
        <v>196</v>
      </c>
      <c r="D71" t="s">
        <v>37</v>
      </c>
      <c r="E71" s="3">
        <v>44748</v>
      </c>
      <c r="F71" s="3" t="str">
        <f t="shared" si="2"/>
        <v>06-Jul</v>
      </c>
      <c r="G71" s="3" t="str">
        <f t="shared" si="3"/>
        <v>Wednesday</v>
      </c>
      <c r="H71" t="s">
        <v>24</v>
      </c>
      <c r="I71" t="s">
        <v>19</v>
      </c>
      <c r="J71" t="s">
        <v>205</v>
      </c>
      <c r="K71" t="s">
        <v>26</v>
      </c>
      <c r="L71">
        <v>5</v>
      </c>
    </row>
    <row r="72" spans="1:12">
      <c r="A72">
        <v>71</v>
      </c>
      <c r="B72" t="s">
        <v>206</v>
      </c>
      <c r="C72" t="s">
        <v>198</v>
      </c>
      <c r="D72" t="s">
        <v>40</v>
      </c>
      <c r="E72" s="3">
        <v>44731</v>
      </c>
      <c r="F72" s="3" t="str">
        <f t="shared" si="2"/>
        <v>19-Jun</v>
      </c>
      <c r="G72" s="3" t="str">
        <f t="shared" si="3"/>
        <v>Sunday</v>
      </c>
      <c r="H72" t="s">
        <v>29</v>
      </c>
      <c r="I72" t="s">
        <v>30</v>
      </c>
      <c r="J72" t="s">
        <v>207</v>
      </c>
      <c r="K72" t="s">
        <v>32</v>
      </c>
      <c r="L72">
        <v>5</v>
      </c>
    </row>
    <row r="73" spans="1:12">
      <c r="A73">
        <v>72</v>
      </c>
      <c r="B73" t="s">
        <v>208</v>
      </c>
      <c r="C73" t="s">
        <v>200</v>
      </c>
      <c r="D73" t="s">
        <v>43</v>
      </c>
      <c r="E73" s="3">
        <v>44725</v>
      </c>
      <c r="F73" s="3" t="str">
        <f t="shared" si="2"/>
        <v>13-Jun</v>
      </c>
      <c r="G73" s="3" t="str">
        <f t="shared" si="3"/>
        <v>Monday</v>
      </c>
      <c r="H73" t="s">
        <v>18</v>
      </c>
      <c r="I73" t="s">
        <v>19</v>
      </c>
      <c r="J73" t="s">
        <v>209</v>
      </c>
      <c r="K73" t="s">
        <v>21</v>
      </c>
      <c r="L73">
        <v>3</v>
      </c>
    </row>
    <row r="74" spans="1:12">
      <c r="A74">
        <v>73</v>
      </c>
      <c r="B74" t="s">
        <v>210</v>
      </c>
      <c r="C74" t="s">
        <v>202</v>
      </c>
      <c r="D74" t="s">
        <v>43</v>
      </c>
      <c r="E74" s="3">
        <v>44753</v>
      </c>
      <c r="F74" s="3" t="str">
        <f t="shared" si="2"/>
        <v>11-Jul</v>
      </c>
      <c r="G74" s="3" t="str">
        <f t="shared" si="3"/>
        <v>Monday</v>
      </c>
      <c r="H74" t="s">
        <v>24</v>
      </c>
      <c r="I74" t="s">
        <v>19</v>
      </c>
      <c r="J74" t="s">
        <v>211</v>
      </c>
      <c r="K74" t="s">
        <v>26</v>
      </c>
      <c r="L74">
        <v>3</v>
      </c>
    </row>
    <row r="75" spans="1:12">
      <c r="A75">
        <v>74</v>
      </c>
      <c r="B75" t="s">
        <v>212</v>
      </c>
      <c r="C75" t="s">
        <v>204</v>
      </c>
      <c r="D75" t="s">
        <v>49</v>
      </c>
      <c r="E75" s="3">
        <v>44738</v>
      </c>
      <c r="F75" s="3" t="str">
        <f t="shared" si="2"/>
        <v>26-Jun</v>
      </c>
      <c r="G75" s="3" t="str">
        <f t="shared" si="3"/>
        <v>Sunday</v>
      </c>
      <c r="H75" t="s">
        <v>24</v>
      </c>
      <c r="I75" t="s">
        <v>19</v>
      </c>
      <c r="J75" t="s">
        <v>213</v>
      </c>
      <c r="K75" t="s">
        <v>32</v>
      </c>
      <c r="L75">
        <v>7</v>
      </c>
    </row>
    <row r="76" spans="1:12">
      <c r="A76">
        <v>75</v>
      </c>
      <c r="B76" t="s">
        <v>214</v>
      </c>
      <c r="C76" t="s">
        <v>206</v>
      </c>
      <c r="D76" t="s">
        <v>40</v>
      </c>
      <c r="E76" s="3">
        <v>44762</v>
      </c>
      <c r="F76" s="3" t="str">
        <f t="shared" si="2"/>
        <v>20-Jul</v>
      </c>
      <c r="G76" s="3" t="str">
        <f t="shared" si="3"/>
        <v>Wednesday</v>
      </c>
      <c r="H76" t="s">
        <v>18</v>
      </c>
      <c r="I76" t="s">
        <v>19</v>
      </c>
      <c r="J76" t="s">
        <v>215</v>
      </c>
      <c r="K76" t="s">
        <v>21</v>
      </c>
      <c r="L76">
        <v>4</v>
      </c>
    </row>
    <row r="77" spans="1:12">
      <c r="A77">
        <v>76</v>
      </c>
      <c r="B77" t="s">
        <v>216</v>
      </c>
      <c r="C77" t="s">
        <v>208</v>
      </c>
      <c r="D77" t="s">
        <v>54</v>
      </c>
      <c r="E77" s="3">
        <v>44756</v>
      </c>
      <c r="F77" s="3" t="str">
        <f t="shared" si="2"/>
        <v>14-Jul</v>
      </c>
      <c r="G77" s="3" t="str">
        <f t="shared" si="3"/>
        <v>Thursday</v>
      </c>
      <c r="H77" t="s">
        <v>24</v>
      </c>
      <c r="I77" t="s">
        <v>19</v>
      </c>
      <c r="J77" t="s">
        <v>217</v>
      </c>
      <c r="K77" t="s">
        <v>26</v>
      </c>
      <c r="L77">
        <v>3</v>
      </c>
    </row>
    <row r="78" spans="1:12">
      <c r="A78">
        <v>77</v>
      </c>
      <c r="B78" t="s">
        <v>218</v>
      </c>
      <c r="C78" t="s">
        <v>210</v>
      </c>
      <c r="D78" t="s">
        <v>57</v>
      </c>
      <c r="E78" s="3">
        <v>44744</v>
      </c>
      <c r="F78" s="3" t="str">
        <f t="shared" si="2"/>
        <v>02-Jul</v>
      </c>
      <c r="G78" s="3" t="str">
        <f t="shared" si="3"/>
        <v>Saturday</v>
      </c>
      <c r="H78" t="s">
        <v>18</v>
      </c>
      <c r="I78" t="s">
        <v>30</v>
      </c>
      <c r="J78" t="s">
        <v>219</v>
      </c>
      <c r="K78" t="s">
        <v>32</v>
      </c>
      <c r="L78">
        <v>8</v>
      </c>
    </row>
    <row r="79" spans="1:12">
      <c r="A79">
        <v>78</v>
      </c>
      <c r="B79" t="s">
        <v>220</v>
      </c>
      <c r="C79" t="s">
        <v>212</v>
      </c>
      <c r="D79" t="s">
        <v>60</v>
      </c>
      <c r="E79" s="3">
        <v>44753</v>
      </c>
      <c r="F79" s="3" t="str">
        <f t="shared" si="2"/>
        <v>11-Jul</v>
      </c>
      <c r="G79" s="3" t="str">
        <f t="shared" si="3"/>
        <v>Monday</v>
      </c>
      <c r="H79" t="s">
        <v>24</v>
      </c>
      <c r="I79" t="s">
        <v>19</v>
      </c>
      <c r="J79" t="s">
        <v>221</v>
      </c>
      <c r="K79" t="s">
        <v>21</v>
      </c>
      <c r="L79">
        <v>2</v>
      </c>
    </row>
    <row r="80" spans="1:12">
      <c r="A80">
        <v>79</v>
      </c>
      <c r="B80" t="s">
        <v>222</v>
      </c>
      <c r="C80" t="s">
        <v>214</v>
      </c>
      <c r="D80" t="s">
        <v>63</v>
      </c>
      <c r="E80" s="3">
        <v>44762</v>
      </c>
      <c r="F80" s="3" t="str">
        <f t="shared" si="2"/>
        <v>20-Jul</v>
      </c>
      <c r="G80" s="3" t="str">
        <f t="shared" si="3"/>
        <v>Wednesday</v>
      </c>
      <c r="H80" t="s">
        <v>24</v>
      </c>
      <c r="I80" t="s">
        <v>19</v>
      </c>
      <c r="J80" t="s">
        <v>223</v>
      </c>
      <c r="K80" t="s">
        <v>26</v>
      </c>
      <c r="L80">
        <v>9</v>
      </c>
    </row>
    <row r="81" spans="1:12">
      <c r="A81">
        <v>80</v>
      </c>
      <c r="B81" t="s">
        <v>224</v>
      </c>
      <c r="C81" t="s">
        <v>216</v>
      </c>
      <c r="D81" t="s">
        <v>40</v>
      </c>
      <c r="E81" s="3">
        <v>44740</v>
      </c>
      <c r="F81" s="3" t="str">
        <f t="shared" si="2"/>
        <v>28-Jun</v>
      </c>
      <c r="G81" s="3" t="str">
        <f t="shared" si="3"/>
        <v>Tuesday</v>
      </c>
      <c r="H81" t="s">
        <v>18</v>
      </c>
      <c r="I81" t="s">
        <v>19</v>
      </c>
      <c r="J81" t="s">
        <v>225</v>
      </c>
      <c r="K81" t="s">
        <v>32</v>
      </c>
      <c r="L81">
        <v>6</v>
      </c>
    </row>
    <row r="82" spans="1:12">
      <c r="A82">
        <v>81</v>
      </c>
      <c r="B82" t="s">
        <v>226</v>
      </c>
      <c r="C82" t="s">
        <v>218</v>
      </c>
      <c r="D82" t="s">
        <v>68</v>
      </c>
      <c r="E82" s="3">
        <v>44729</v>
      </c>
      <c r="F82" s="3" t="str">
        <f t="shared" si="2"/>
        <v>17-Jun</v>
      </c>
      <c r="G82" s="3" t="str">
        <f t="shared" si="3"/>
        <v>Friday</v>
      </c>
      <c r="H82" t="s">
        <v>24</v>
      </c>
      <c r="I82" t="s">
        <v>19</v>
      </c>
      <c r="J82" t="s">
        <v>227</v>
      </c>
      <c r="K82" t="s">
        <v>21</v>
      </c>
      <c r="L82">
        <v>7</v>
      </c>
    </row>
    <row r="83" spans="1:12">
      <c r="A83">
        <v>82</v>
      </c>
      <c r="B83" t="s">
        <v>228</v>
      </c>
      <c r="C83" t="s">
        <v>220</v>
      </c>
      <c r="D83" t="s">
        <v>57</v>
      </c>
      <c r="E83" s="3">
        <v>44727</v>
      </c>
      <c r="F83" s="3" t="str">
        <f t="shared" si="2"/>
        <v>15-Jun</v>
      </c>
      <c r="G83" s="3" t="str">
        <f t="shared" si="3"/>
        <v>Wednesday</v>
      </c>
      <c r="H83" t="s">
        <v>24</v>
      </c>
      <c r="I83" t="s">
        <v>19</v>
      </c>
      <c r="J83" t="s">
        <v>229</v>
      </c>
      <c r="K83" t="s">
        <v>26</v>
      </c>
      <c r="L83">
        <v>9</v>
      </c>
    </row>
    <row r="84" spans="1:12">
      <c r="A84">
        <v>83</v>
      </c>
      <c r="B84" t="s">
        <v>230</v>
      </c>
      <c r="C84" t="s">
        <v>222</v>
      </c>
      <c r="D84" t="s">
        <v>37</v>
      </c>
      <c r="E84" s="3">
        <v>44734</v>
      </c>
      <c r="F84" s="3" t="str">
        <f t="shared" si="2"/>
        <v>22-Jun</v>
      </c>
      <c r="G84" s="3" t="str">
        <f t="shared" si="3"/>
        <v>Wednesday</v>
      </c>
      <c r="H84" t="s">
        <v>18</v>
      </c>
      <c r="I84" t="s">
        <v>30</v>
      </c>
      <c r="J84" t="s">
        <v>231</v>
      </c>
      <c r="K84" t="s">
        <v>32</v>
      </c>
      <c r="L84">
        <v>2</v>
      </c>
    </row>
    <row r="85" spans="1:12">
      <c r="A85">
        <v>84</v>
      </c>
      <c r="B85" t="s">
        <v>232</v>
      </c>
      <c r="C85" t="s">
        <v>224</v>
      </c>
      <c r="D85" t="s">
        <v>54</v>
      </c>
      <c r="E85" s="3">
        <v>44744</v>
      </c>
      <c r="F85" s="3" t="str">
        <f t="shared" si="2"/>
        <v>02-Jul</v>
      </c>
      <c r="G85" s="3" t="str">
        <f t="shared" si="3"/>
        <v>Saturday</v>
      </c>
      <c r="H85" t="s">
        <v>24</v>
      </c>
      <c r="I85" t="s">
        <v>19</v>
      </c>
      <c r="J85" t="s">
        <v>233</v>
      </c>
      <c r="K85" t="s">
        <v>21</v>
      </c>
      <c r="L85">
        <v>9</v>
      </c>
    </row>
    <row r="86" spans="1:12">
      <c r="A86">
        <v>85</v>
      </c>
      <c r="B86" t="s">
        <v>234</v>
      </c>
      <c r="C86" t="s">
        <v>226</v>
      </c>
      <c r="D86" t="s">
        <v>78</v>
      </c>
      <c r="E86" s="3">
        <v>44737</v>
      </c>
      <c r="F86" s="3" t="str">
        <f t="shared" si="2"/>
        <v>25-Jun</v>
      </c>
      <c r="G86" s="3" t="str">
        <f t="shared" si="3"/>
        <v>Saturday</v>
      </c>
      <c r="H86" t="s">
        <v>18</v>
      </c>
      <c r="I86" t="s">
        <v>19</v>
      </c>
      <c r="J86" t="s">
        <v>235</v>
      </c>
      <c r="K86" t="s">
        <v>26</v>
      </c>
      <c r="L86">
        <v>10</v>
      </c>
    </row>
    <row r="87" spans="1:12">
      <c r="A87">
        <v>86</v>
      </c>
      <c r="B87" t="s">
        <v>236</v>
      </c>
      <c r="C87" t="s">
        <v>228</v>
      </c>
      <c r="D87" t="s">
        <v>81</v>
      </c>
      <c r="E87" s="3">
        <v>44752</v>
      </c>
      <c r="F87" s="3" t="str">
        <f t="shared" si="2"/>
        <v>10-Jul</v>
      </c>
      <c r="G87" s="3" t="str">
        <f t="shared" si="3"/>
        <v>Sunday</v>
      </c>
      <c r="H87" t="s">
        <v>24</v>
      </c>
      <c r="I87" t="s">
        <v>19</v>
      </c>
      <c r="J87" t="s">
        <v>237</v>
      </c>
      <c r="K87" t="s">
        <v>32</v>
      </c>
      <c r="L87">
        <v>1</v>
      </c>
    </row>
    <row r="88" spans="1:12">
      <c r="A88">
        <v>87</v>
      </c>
      <c r="B88" t="s">
        <v>238</v>
      </c>
      <c r="C88" t="s">
        <v>230</v>
      </c>
      <c r="D88" t="s">
        <v>84</v>
      </c>
      <c r="E88" s="3">
        <v>44736</v>
      </c>
      <c r="F88" s="3" t="str">
        <f t="shared" si="2"/>
        <v>24-Jun</v>
      </c>
      <c r="G88" s="3" t="str">
        <f t="shared" si="3"/>
        <v>Friday</v>
      </c>
      <c r="H88" t="s">
        <v>18</v>
      </c>
      <c r="I88" t="s">
        <v>19</v>
      </c>
      <c r="J88" t="s">
        <v>239</v>
      </c>
      <c r="K88" t="s">
        <v>21</v>
      </c>
      <c r="L88">
        <v>1</v>
      </c>
    </row>
    <row r="89" spans="1:12">
      <c r="A89">
        <v>88</v>
      </c>
      <c r="B89" t="s">
        <v>240</v>
      </c>
      <c r="C89" t="s">
        <v>232</v>
      </c>
      <c r="D89" t="s">
        <v>87</v>
      </c>
      <c r="E89" s="3">
        <v>44752</v>
      </c>
      <c r="F89" s="3" t="str">
        <f t="shared" si="2"/>
        <v>10-Jul</v>
      </c>
      <c r="G89" s="3" t="str">
        <f t="shared" si="3"/>
        <v>Sunday</v>
      </c>
      <c r="H89" t="s">
        <v>24</v>
      </c>
      <c r="I89" t="s">
        <v>19</v>
      </c>
      <c r="J89" t="s">
        <v>241</v>
      </c>
      <c r="K89" t="s">
        <v>26</v>
      </c>
      <c r="L89">
        <v>10</v>
      </c>
    </row>
    <row r="90" spans="1:12">
      <c r="A90">
        <v>89</v>
      </c>
      <c r="B90" t="s">
        <v>242</v>
      </c>
      <c r="C90" t="s">
        <v>234</v>
      </c>
      <c r="D90" t="s">
        <v>90</v>
      </c>
      <c r="E90" s="3">
        <v>44759</v>
      </c>
      <c r="F90" s="3" t="str">
        <f t="shared" si="2"/>
        <v>17-Jul</v>
      </c>
      <c r="G90" s="3" t="str">
        <f t="shared" si="3"/>
        <v>Sunday</v>
      </c>
      <c r="H90" t="s">
        <v>29</v>
      </c>
      <c r="I90" t="s">
        <v>30</v>
      </c>
      <c r="J90" t="s">
        <v>243</v>
      </c>
      <c r="K90" t="s">
        <v>32</v>
      </c>
      <c r="L90">
        <v>4</v>
      </c>
    </row>
    <row r="91" spans="1:12">
      <c r="A91">
        <v>90</v>
      </c>
      <c r="B91" t="s">
        <v>244</v>
      </c>
      <c r="C91" t="s">
        <v>236</v>
      </c>
      <c r="D91" t="s">
        <v>93</v>
      </c>
      <c r="E91" s="3">
        <v>44763</v>
      </c>
      <c r="F91" s="3" t="str">
        <f t="shared" si="2"/>
        <v>21-Jul</v>
      </c>
      <c r="G91" s="3" t="str">
        <f t="shared" si="3"/>
        <v>Thursday</v>
      </c>
      <c r="H91" t="s">
        <v>18</v>
      </c>
      <c r="I91" t="s">
        <v>19</v>
      </c>
      <c r="J91" t="s">
        <v>245</v>
      </c>
      <c r="K91" t="s">
        <v>21</v>
      </c>
      <c r="L91">
        <v>7</v>
      </c>
    </row>
    <row r="92" spans="1:12">
      <c r="A92">
        <v>91</v>
      </c>
      <c r="B92" t="s">
        <v>246</v>
      </c>
      <c r="C92" t="s">
        <v>238</v>
      </c>
      <c r="D92" t="s">
        <v>96</v>
      </c>
      <c r="E92" s="3">
        <v>44763</v>
      </c>
      <c r="F92" s="3" t="str">
        <f t="shared" si="2"/>
        <v>21-Jul</v>
      </c>
      <c r="G92" s="3" t="str">
        <f t="shared" si="3"/>
        <v>Thursday</v>
      </c>
      <c r="H92" t="s">
        <v>24</v>
      </c>
      <c r="I92" t="s">
        <v>19</v>
      </c>
      <c r="J92" t="s">
        <v>247</v>
      </c>
      <c r="K92" t="s">
        <v>26</v>
      </c>
      <c r="L92">
        <v>3</v>
      </c>
    </row>
    <row r="93" spans="1:12">
      <c r="A93">
        <v>92</v>
      </c>
      <c r="B93" t="s">
        <v>248</v>
      </c>
      <c r="C93" t="s">
        <v>240</v>
      </c>
      <c r="D93" t="s">
        <v>99</v>
      </c>
      <c r="E93" s="3">
        <v>44750</v>
      </c>
      <c r="F93" s="3" t="str">
        <f t="shared" si="2"/>
        <v>08-Jul</v>
      </c>
      <c r="G93" s="3" t="str">
        <f t="shared" si="3"/>
        <v>Friday</v>
      </c>
      <c r="H93" t="s">
        <v>24</v>
      </c>
      <c r="I93" t="s">
        <v>19</v>
      </c>
      <c r="J93" t="s">
        <v>249</v>
      </c>
      <c r="K93" t="s">
        <v>32</v>
      </c>
      <c r="L93">
        <v>6</v>
      </c>
    </row>
    <row r="94" spans="1:12">
      <c r="A94">
        <v>93</v>
      </c>
      <c r="B94" t="s">
        <v>250</v>
      </c>
      <c r="C94" t="s">
        <v>242</v>
      </c>
      <c r="D94" t="s">
        <v>103</v>
      </c>
      <c r="E94" s="3">
        <v>44751</v>
      </c>
      <c r="F94" s="3" t="str">
        <f t="shared" si="2"/>
        <v>09-Jul</v>
      </c>
      <c r="G94" s="3" t="str">
        <f t="shared" si="3"/>
        <v>Saturday</v>
      </c>
      <c r="H94" t="s">
        <v>18</v>
      </c>
      <c r="I94" t="s">
        <v>19</v>
      </c>
      <c r="J94" t="s">
        <v>251</v>
      </c>
      <c r="K94" t="s">
        <v>21</v>
      </c>
      <c r="L94">
        <v>6</v>
      </c>
    </row>
    <row r="95" spans="1:12">
      <c r="A95">
        <v>94</v>
      </c>
      <c r="B95" t="s">
        <v>252</v>
      </c>
      <c r="C95" t="s">
        <v>244</v>
      </c>
      <c r="D95" t="s">
        <v>106</v>
      </c>
      <c r="E95" s="3">
        <v>44736</v>
      </c>
      <c r="F95" s="3" t="str">
        <f t="shared" si="2"/>
        <v>24-Jun</v>
      </c>
      <c r="G95" s="3" t="str">
        <f t="shared" si="3"/>
        <v>Friday</v>
      </c>
      <c r="H95" t="s">
        <v>24</v>
      </c>
      <c r="I95" t="s">
        <v>19</v>
      </c>
      <c r="J95" t="s">
        <v>253</v>
      </c>
      <c r="K95" t="s">
        <v>26</v>
      </c>
      <c r="L95">
        <v>5</v>
      </c>
    </row>
    <row r="96" spans="1:12">
      <c r="A96">
        <v>95</v>
      </c>
      <c r="B96" t="s">
        <v>254</v>
      </c>
      <c r="C96" t="s">
        <v>246</v>
      </c>
      <c r="D96" t="s">
        <v>109</v>
      </c>
      <c r="E96" s="3">
        <v>44737</v>
      </c>
      <c r="F96" s="3" t="str">
        <f t="shared" si="2"/>
        <v>25-Jun</v>
      </c>
      <c r="G96" s="3" t="str">
        <f t="shared" si="3"/>
        <v>Saturday</v>
      </c>
      <c r="H96" t="s">
        <v>18</v>
      </c>
      <c r="I96" t="s">
        <v>30</v>
      </c>
      <c r="J96" t="s">
        <v>255</v>
      </c>
      <c r="K96" t="s">
        <v>32</v>
      </c>
      <c r="L96">
        <v>1</v>
      </c>
    </row>
    <row r="97" spans="1:12">
      <c r="A97">
        <v>96</v>
      </c>
      <c r="B97" t="s">
        <v>256</v>
      </c>
      <c r="C97" t="s">
        <v>248</v>
      </c>
      <c r="D97" t="s">
        <v>112</v>
      </c>
      <c r="E97" s="3">
        <v>44744</v>
      </c>
      <c r="F97" s="3" t="str">
        <f t="shared" si="2"/>
        <v>02-Jul</v>
      </c>
      <c r="G97" s="3" t="str">
        <f t="shared" si="3"/>
        <v>Saturday</v>
      </c>
      <c r="H97" t="s">
        <v>24</v>
      </c>
      <c r="I97" t="s">
        <v>19</v>
      </c>
      <c r="J97" t="s">
        <v>257</v>
      </c>
      <c r="K97" t="s">
        <v>21</v>
      </c>
      <c r="L97">
        <v>9</v>
      </c>
    </row>
    <row r="98" spans="1:12">
      <c r="A98">
        <v>97</v>
      </c>
      <c r="B98" t="s">
        <v>258</v>
      </c>
      <c r="C98" t="s">
        <v>250</v>
      </c>
      <c r="D98" t="s">
        <v>115</v>
      </c>
      <c r="E98" s="3">
        <v>44735</v>
      </c>
      <c r="F98" s="3" t="str">
        <f t="shared" si="2"/>
        <v>23-Jun</v>
      </c>
      <c r="G98" s="3" t="str">
        <f t="shared" si="3"/>
        <v>Thursday</v>
      </c>
      <c r="H98" t="s">
        <v>24</v>
      </c>
      <c r="I98" t="s">
        <v>19</v>
      </c>
      <c r="J98" t="s">
        <v>259</v>
      </c>
      <c r="K98" t="s">
        <v>26</v>
      </c>
      <c r="L98">
        <v>3</v>
      </c>
    </row>
    <row r="99" spans="1:12">
      <c r="A99">
        <v>98</v>
      </c>
      <c r="B99" t="s">
        <v>260</v>
      </c>
      <c r="C99" t="s">
        <v>252</v>
      </c>
      <c r="D99" t="s">
        <v>63</v>
      </c>
      <c r="E99" s="3">
        <v>44751</v>
      </c>
      <c r="F99" s="3" t="str">
        <f t="shared" si="2"/>
        <v>09-Jul</v>
      </c>
      <c r="G99" s="3" t="str">
        <f t="shared" si="3"/>
        <v>Saturday</v>
      </c>
      <c r="H99" t="s">
        <v>18</v>
      </c>
      <c r="I99" t="s">
        <v>19</v>
      </c>
      <c r="J99" t="s">
        <v>261</v>
      </c>
      <c r="K99" t="s">
        <v>32</v>
      </c>
      <c r="L99">
        <v>4</v>
      </c>
    </row>
    <row r="100" spans="1:12">
      <c r="A100">
        <v>99</v>
      </c>
      <c r="B100" t="s">
        <v>262</v>
      </c>
      <c r="C100" t="s">
        <v>254</v>
      </c>
      <c r="D100" t="s">
        <v>87</v>
      </c>
      <c r="E100" s="3">
        <v>44726</v>
      </c>
      <c r="F100" s="3" t="str">
        <f t="shared" si="2"/>
        <v>14-Jun</v>
      </c>
      <c r="G100" s="3" t="str">
        <f t="shared" si="3"/>
        <v>Tuesday</v>
      </c>
      <c r="H100" t="s">
        <v>24</v>
      </c>
      <c r="I100" t="s">
        <v>19</v>
      </c>
      <c r="J100" t="s">
        <v>263</v>
      </c>
      <c r="K100" t="s">
        <v>21</v>
      </c>
      <c r="L100">
        <v>8</v>
      </c>
    </row>
    <row r="101" spans="1:12">
      <c r="A101">
        <v>100</v>
      </c>
      <c r="B101" t="s">
        <v>264</v>
      </c>
      <c r="C101" t="s">
        <v>256</v>
      </c>
      <c r="D101" t="s">
        <v>103</v>
      </c>
      <c r="E101" s="3">
        <v>44749</v>
      </c>
      <c r="F101" s="3" t="str">
        <f t="shared" si="2"/>
        <v>07-Jul</v>
      </c>
      <c r="G101" s="3" t="str">
        <f t="shared" si="3"/>
        <v>Thursday</v>
      </c>
      <c r="H101" t="s">
        <v>24</v>
      </c>
      <c r="I101" t="s">
        <v>19</v>
      </c>
      <c r="J101" t="s">
        <v>265</v>
      </c>
      <c r="K101" t="s">
        <v>21</v>
      </c>
      <c r="L101">
        <v>6</v>
      </c>
    </row>
    <row r="102" spans="1:12">
      <c r="A102">
        <v>101</v>
      </c>
      <c r="B102" t="s">
        <v>266</v>
      </c>
      <c r="C102" t="s">
        <v>258</v>
      </c>
      <c r="D102" t="s">
        <v>37</v>
      </c>
      <c r="E102" s="3">
        <v>44734</v>
      </c>
      <c r="F102" s="3" t="str">
        <f t="shared" si="2"/>
        <v>22-Jun</v>
      </c>
      <c r="G102" s="3" t="str">
        <f t="shared" si="3"/>
        <v>Wednesday</v>
      </c>
      <c r="H102" t="s">
        <v>18</v>
      </c>
      <c r="I102" t="s">
        <v>19</v>
      </c>
      <c r="J102" t="s">
        <v>267</v>
      </c>
      <c r="K102" t="s">
        <v>21</v>
      </c>
      <c r="L102">
        <v>10</v>
      </c>
    </row>
    <row r="103" spans="1:12">
      <c r="A103">
        <v>102</v>
      </c>
      <c r="B103" t="s">
        <v>268</v>
      </c>
      <c r="C103" t="s">
        <v>260</v>
      </c>
      <c r="D103" t="s">
        <v>68</v>
      </c>
      <c r="E103" s="3">
        <v>44726</v>
      </c>
      <c r="F103" s="3" t="str">
        <f t="shared" si="2"/>
        <v>14-Jun</v>
      </c>
      <c r="G103" s="3" t="str">
        <f t="shared" si="3"/>
        <v>Tuesday</v>
      </c>
      <c r="H103" t="s">
        <v>24</v>
      </c>
      <c r="I103" t="s">
        <v>19</v>
      </c>
      <c r="J103" t="s">
        <v>269</v>
      </c>
      <c r="K103" t="s">
        <v>26</v>
      </c>
      <c r="L103">
        <v>9</v>
      </c>
    </row>
    <row r="104" spans="1:12">
      <c r="A104">
        <v>103</v>
      </c>
      <c r="B104" t="s">
        <v>270</v>
      </c>
      <c r="C104" t="s">
        <v>262</v>
      </c>
      <c r="D104" t="s">
        <v>109</v>
      </c>
      <c r="E104" s="3">
        <v>44743</v>
      </c>
      <c r="F104" s="3" t="str">
        <f t="shared" si="2"/>
        <v>01-Jul</v>
      </c>
      <c r="G104" s="3" t="str">
        <f t="shared" si="3"/>
        <v>Friday</v>
      </c>
      <c r="H104" t="s">
        <v>18</v>
      </c>
      <c r="I104" t="s">
        <v>19</v>
      </c>
      <c r="J104" t="s">
        <v>271</v>
      </c>
      <c r="K104" t="s">
        <v>32</v>
      </c>
      <c r="L104">
        <v>7</v>
      </c>
    </row>
    <row r="105" spans="1:12">
      <c r="A105">
        <v>104</v>
      </c>
      <c r="B105" t="s">
        <v>272</v>
      </c>
      <c r="C105" t="s">
        <v>264</v>
      </c>
      <c r="D105" t="s">
        <v>112</v>
      </c>
      <c r="E105" s="3">
        <v>44742</v>
      </c>
      <c r="F105" s="3" t="str">
        <f t="shared" si="2"/>
        <v>30-Jun</v>
      </c>
      <c r="G105" s="3" t="str">
        <f t="shared" si="3"/>
        <v>Thursday</v>
      </c>
      <c r="H105" t="s">
        <v>24</v>
      </c>
      <c r="I105" t="s">
        <v>19</v>
      </c>
      <c r="J105" t="s">
        <v>273</v>
      </c>
      <c r="K105" t="s">
        <v>21</v>
      </c>
      <c r="L105">
        <v>7</v>
      </c>
    </row>
    <row r="106" spans="1:12">
      <c r="A106">
        <v>105</v>
      </c>
      <c r="B106" t="s">
        <v>274</v>
      </c>
      <c r="C106" t="s">
        <v>266</v>
      </c>
      <c r="D106" t="s">
        <v>134</v>
      </c>
      <c r="E106" s="3">
        <v>44747</v>
      </c>
      <c r="F106" s="3" t="str">
        <f t="shared" si="2"/>
        <v>05-Jul</v>
      </c>
      <c r="G106" s="3" t="str">
        <f t="shared" si="3"/>
        <v>Tuesday</v>
      </c>
      <c r="H106" t="s">
        <v>18</v>
      </c>
      <c r="I106" t="s">
        <v>19</v>
      </c>
      <c r="J106" t="s">
        <v>275</v>
      </c>
      <c r="K106" t="s">
        <v>26</v>
      </c>
      <c r="L106">
        <v>7</v>
      </c>
    </row>
    <row r="107" spans="1:12">
      <c r="A107">
        <v>106</v>
      </c>
      <c r="B107" t="s">
        <v>276</v>
      </c>
      <c r="C107" t="s">
        <v>268</v>
      </c>
      <c r="D107" t="s">
        <v>277</v>
      </c>
      <c r="E107" s="3">
        <v>44764</v>
      </c>
      <c r="F107" s="3" t="str">
        <f t="shared" si="2"/>
        <v>22-Jul</v>
      </c>
      <c r="G107" s="3" t="str">
        <f t="shared" si="3"/>
        <v>Friday</v>
      </c>
      <c r="H107" t="s">
        <v>24</v>
      </c>
      <c r="I107" t="s">
        <v>19</v>
      </c>
      <c r="J107" t="s">
        <v>278</v>
      </c>
      <c r="K107" t="s">
        <v>32</v>
      </c>
      <c r="L107">
        <v>7</v>
      </c>
    </row>
    <row r="108" spans="1:12">
      <c r="A108">
        <v>107</v>
      </c>
      <c r="B108" t="s">
        <v>279</v>
      </c>
      <c r="C108" t="s">
        <v>270</v>
      </c>
      <c r="D108" t="s">
        <v>139</v>
      </c>
      <c r="E108" s="3">
        <v>44735</v>
      </c>
      <c r="F108" s="3" t="str">
        <f t="shared" si="2"/>
        <v>23-Jun</v>
      </c>
      <c r="G108" s="3" t="str">
        <f t="shared" si="3"/>
        <v>Thursday</v>
      </c>
      <c r="H108" t="s">
        <v>29</v>
      </c>
      <c r="I108" t="s">
        <v>19</v>
      </c>
      <c r="J108" t="s">
        <v>280</v>
      </c>
      <c r="K108" t="s">
        <v>21</v>
      </c>
      <c r="L108">
        <v>8</v>
      </c>
    </row>
    <row r="109" spans="1:12">
      <c r="A109">
        <v>108</v>
      </c>
      <c r="B109" t="s">
        <v>281</v>
      </c>
      <c r="C109" t="s">
        <v>272</v>
      </c>
      <c r="D109" t="s">
        <v>142</v>
      </c>
      <c r="E109" s="3">
        <v>44737</v>
      </c>
      <c r="F109" s="3" t="str">
        <f t="shared" si="2"/>
        <v>25-Jun</v>
      </c>
      <c r="G109" s="3" t="str">
        <f t="shared" si="3"/>
        <v>Saturday</v>
      </c>
      <c r="H109" t="s">
        <v>18</v>
      </c>
      <c r="I109" t="s">
        <v>19</v>
      </c>
      <c r="J109" t="s">
        <v>282</v>
      </c>
      <c r="K109" t="s">
        <v>26</v>
      </c>
      <c r="L109">
        <v>10</v>
      </c>
    </row>
    <row r="110" spans="1:12">
      <c r="A110">
        <v>109</v>
      </c>
      <c r="B110" t="s">
        <v>283</v>
      </c>
      <c r="C110" t="s">
        <v>274</v>
      </c>
      <c r="D110" t="s">
        <v>145</v>
      </c>
      <c r="E110" s="3">
        <v>44749</v>
      </c>
      <c r="F110" s="3" t="str">
        <f t="shared" si="2"/>
        <v>07-Jul</v>
      </c>
      <c r="G110" s="3" t="str">
        <f t="shared" si="3"/>
        <v>Thursday</v>
      </c>
      <c r="H110" t="s">
        <v>24</v>
      </c>
      <c r="I110" t="s">
        <v>19</v>
      </c>
      <c r="J110" t="s">
        <v>284</v>
      </c>
      <c r="K110" t="s">
        <v>32</v>
      </c>
      <c r="L110">
        <v>10</v>
      </c>
    </row>
    <row r="111" spans="1:12">
      <c r="A111">
        <v>110</v>
      </c>
      <c r="B111" t="s">
        <v>285</v>
      </c>
      <c r="C111" t="s">
        <v>276</v>
      </c>
      <c r="D111" t="s">
        <v>148</v>
      </c>
      <c r="E111" s="3">
        <v>44729</v>
      </c>
      <c r="F111" s="3" t="str">
        <f t="shared" si="2"/>
        <v>17-Jun</v>
      </c>
      <c r="G111" s="3" t="str">
        <f t="shared" si="3"/>
        <v>Friday</v>
      </c>
      <c r="H111" t="s">
        <v>24</v>
      </c>
      <c r="I111" t="s">
        <v>19</v>
      </c>
      <c r="J111" t="s">
        <v>286</v>
      </c>
      <c r="K111" t="s">
        <v>21</v>
      </c>
      <c r="L111">
        <v>10</v>
      </c>
    </row>
    <row r="112" spans="1:12">
      <c r="A112">
        <v>111</v>
      </c>
      <c r="B112" t="s">
        <v>287</v>
      </c>
      <c r="C112" t="s">
        <v>279</v>
      </c>
      <c r="D112" t="s">
        <v>151</v>
      </c>
      <c r="E112" s="3">
        <v>44738</v>
      </c>
      <c r="F112" s="3" t="str">
        <f t="shared" si="2"/>
        <v>26-Jun</v>
      </c>
      <c r="G112" s="3" t="str">
        <f t="shared" si="3"/>
        <v>Sunday</v>
      </c>
      <c r="H112" t="s">
        <v>18</v>
      </c>
      <c r="I112" t="s">
        <v>19</v>
      </c>
      <c r="J112" t="s">
        <v>288</v>
      </c>
      <c r="K112" t="s">
        <v>26</v>
      </c>
      <c r="L112">
        <v>10</v>
      </c>
    </row>
    <row r="113" spans="1:12">
      <c r="A113">
        <v>112</v>
      </c>
      <c r="B113" t="s">
        <v>289</v>
      </c>
      <c r="C113" t="s">
        <v>281</v>
      </c>
      <c r="D113" t="s">
        <v>154</v>
      </c>
      <c r="E113" s="3">
        <v>44740</v>
      </c>
      <c r="F113" s="3" t="str">
        <f t="shared" si="2"/>
        <v>28-Jun</v>
      </c>
      <c r="G113" s="3" t="str">
        <f t="shared" si="3"/>
        <v>Tuesday</v>
      </c>
      <c r="H113" t="s">
        <v>24</v>
      </c>
      <c r="I113" t="s">
        <v>19</v>
      </c>
      <c r="J113" t="s">
        <v>290</v>
      </c>
      <c r="K113" t="s">
        <v>32</v>
      </c>
      <c r="L113">
        <v>8</v>
      </c>
    </row>
    <row r="114" spans="1:12">
      <c r="A114">
        <v>113</v>
      </c>
      <c r="B114" t="s">
        <v>291</v>
      </c>
      <c r="C114" t="s">
        <v>283</v>
      </c>
      <c r="D114" t="s">
        <v>84</v>
      </c>
      <c r="E114" s="3">
        <v>44755</v>
      </c>
      <c r="F114" s="3" t="str">
        <f t="shared" si="2"/>
        <v>13-Jul</v>
      </c>
      <c r="G114" s="3" t="str">
        <f t="shared" si="3"/>
        <v>Wednesday</v>
      </c>
      <c r="H114" t="s">
        <v>18</v>
      </c>
      <c r="I114" t="s">
        <v>19</v>
      </c>
      <c r="J114" t="s">
        <v>292</v>
      </c>
      <c r="K114" t="s">
        <v>21</v>
      </c>
      <c r="L114">
        <v>7</v>
      </c>
    </row>
    <row r="115" spans="1:12">
      <c r="A115">
        <v>114</v>
      </c>
      <c r="B115" t="s">
        <v>293</v>
      </c>
      <c r="C115" t="s">
        <v>285</v>
      </c>
      <c r="D115" t="s">
        <v>87</v>
      </c>
      <c r="E115" s="3">
        <v>44755</v>
      </c>
      <c r="F115" s="3" t="str">
        <f t="shared" si="2"/>
        <v>13-Jul</v>
      </c>
      <c r="G115" s="3" t="str">
        <f t="shared" si="3"/>
        <v>Wednesday</v>
      </c>
      <c r="H115" t="s">
        <v>24</v>
      </c>
      <c r="I115" t="s">
        <v>19</v>
      </c>
      <c r="J115" t="s">
        <v>294</v>
      </c>
      <c r="K115" t="s">
        <v>26</v>
      </c>
      <c r="L115">
        <v>7</v>
      </c>
    </row>
    <row r="116" spans="1:12">
      <c r="A116">
        <v>115</v>
      </c>
      <c r="B116" t="s">
        <v>295</v>
      </c>
      <c r="C116" t="s">
        <v>287</v>
      </c>
      <c r="D116" t="s">
        <v>90</v>
      </c>
      <c r="E116" s="3">
        <v>44764</v>
      </c>
      <c r="F116" s="3" t="str">
        <f t="shared" si="2"/>
        <v>22-Jul</v>
      </c>
      <c r="G116" s="3" t="str">
        <f t="shared" si="3"/>
        <v>Friday</v>
      </c>
      <c r="H116" t="s">
        <v>24</v>
      </c>
      <c r="I116" t="s">
        <v>19</v>
      </c>
      <c r="J116" t="s">
        <v>296</v>
      </c>
      <c r="K116" t="s">
        <v>32</v>
      </c>
      <c r="L116">
        <v>9</v>
      </c>
    </row>
    <row r="117" spans="1:12">
      <c r="A117">
        <v>116</v>
      </c>
      <c r="B117" t="s">
        <v>297</v>
      </c>
      <c r="C117" t="s">
        <v>289</v>
      </c>
      <c r="D117" t="s">
        <v>54</v>
      </c>
      <c r="E117" s="3">
        <v>44735</v>
      </c>
      <c r="F117" s="3" t="str">
        <f t="shared" si="2"/>
        <v>23-Jun</v>
      </c>
      <c r="G117" s="3" t="str">
        <f t="shared" si="3"/>
        <v>Thursday</v>
      </c>
      <c r="H117" t="s">
        <v>18</v>
      </c>
      <c r="I117" t="s">
        <v>19</v>
      </c>
      <c r="J117" t="s">
        <v>298</v>
      </c>
      <c r="K117" t="s">
        <v>21</v>
      </c>
      <c r="L117">
        <v>8</v>
      </c>
    </row>
    <row r="118" spans="1:12">
      <c r="A118">
        <v>117</v>
      </c>
      <c r="B118" t="s">
        <v>299</v>
      </c>
      <c r="C118" t="s">
        <v>291</v>
      </c>
      <c r="D118" t="s">
        <v>96</v>
      </c>
      <c r="E118" s="3">
        <v>44734</v>
      </c>
      <c r="F118" s="3" t="str">
        <f t="shared" si="2"/>
        <v>22-Jun</v>
      </c>
      <c r="G118" s="3" t="str">
        <f t="shared" si="3"/>
        <v>Wednesday</v>
      </c>
      <c r="H118" t="s">
        <v>24</v>
      </c>
      <c r="I118" t="s">
        <v>30</v>
      </c>
      <c r="J118" t="s">
        <v>300</v>
      </c>
      <c r="K118" t="s">
        <v>26</v>
      </c>
      <c r="L118">
        <v>8</v>
      </c>
    </row>
    <row r="119" spans="1:12">
      <c r="A119">
        <v>118</v>
      </c>
      <c r="B119" t="s">
        <v>301</v>
      </c>
      <c r="C119" t="s">
        <v>293</v>
      </c>
      <c r="D119" t="s">
        <v>99</v>
      </c>
      <c r="E119" s="3">
        <v>44728</v>
      </c>
      <c r="F119" s="3" t="str">
        <f t="shared" si="2"/>
        <v>16-Jun</v>
      </c>
      <c r="G119" s="3" t="str">
        <f t="shared" si="3"/>
        <v>Thursday</v>
      </c>
      <c r="H119" t="s">
        <v>24</v>
      </c>
      <c r="I119" t="s">
        <v>19</v>
      </c>
      <c r="J119" t="s">
        <v>302</v>
      </c>
      <c r="K119" t="s">
        <v>32</v>
      </c>
      <c r="L119">
        <v>7</v>
      </c>
    </row>
    <row r="120" spans="1:12">
      <c r="A120">
        <v>119</v>
      </c>
      <c r="B120" t="s">
        <v>303</v>
      </c>
      <c r="C120" t="s">
        <v>295</v>
      </c>
      <c r="D120" t="s">
        <v>103</v>
      </c>
      <c r="E120" s="3">
        <v>44739</v>
      </c>
      <c r="F120" s="3" t="str">
        <f t="shared" si="2"/>
        <v>27-Jun</v>
      </c>
      <c r="G120" s="3" t="str">
        <f t="shared" si="3"/>
        <v>Monday</v>
      </c>
      <c r="H120" t="s">
        <v>18</v>
      </c>
      <c r="I120" t="s">
        <v>19</v>
      </c>
      <c r="J120" t="s">
        <v>304</v>
      </c>
      <c r="K120" t="s">
        <v>21</v>
      </c>
      <c r="L120">
        <v>8</v>
      </c>
    </row>
    <row r="121" spans="1:12">
      <c r="A121">
        <v>120</v>
      </c>
      <c r="B121" t="s">
        <v>305</v>
      </c>
      <c r="C121" t="s">
        <v>297</v>
      </c>
      <c r="D121" t="s">
        <v>106</v>
      </c>
      <c r="E121" s="3">
        <v>44765</v>
      </c>
      <c r="F121" s="3" t="str">
        <f t="shared" si="2"/>
        <v>23-Jul</v>
      </c>
      <c r="G121" s="3" t="str">
        <f t="shared" si="3"/>
        <v>Saturday</v>
      </c>
      <c r="H121" t="s">
        <v>24</v>
      </c>
      <c r="I121" t="s">
        <v>19</v>
      </c>
      <c r="J121" t="s">
        <v>306</v>
      </c>
      <c r="K121" t="s">
        <v>26</v>
      </c>
      <c r="L121">
        <v>8</v>
      </c>
    </row>
    <row r="122" spans="1:12">
      <c r="A122">
        <v>121</v>
      </c>
      <c r="B122" t="s">
        <v>307</v>
      </c>
      <c r="C122" t="s">
        <v>299</v>
      </c>
      <c r="D122" t="s">
        <v>109</v>
      </c>
      <c r="E122" s="3">
        <v>44740</v>
      </c>
      <c r="F122" s="3" t="str">
        <f t="shared" si="2"/>
        <v>28-Jun</v>
      </c>
      <c r="G122" s="3" t="str">
        <f t="shared" si="3"/>
        <v>Tuesday</v>
      </c>
      <c r="H122" t="s">
        <v>18</v>
      </c>
      <c r="I122" t="s">
        <v>19</v>
      </c>
      <c r="J122" t="s">
        <v>308</v>
      </c>
      <c r="K122" t="s">
        <v>32</v>
      </c>
      <c r="L122">
        <v>9</v>
      </c>
    </row>
    <row r="123" spans="1:12">
      <c r="A123">
        <v>122</v>
      </c>
      <c r="B123" t="s">
        <v>309</v>
      </c>
      <c r="C123" t="s">
        <v>301</v>
      </c>
      <c r="D123" t="s">
        <v>112</v>
      </c>
      <c r="E123" s="3">
        <v>44734</v>
      </c>
      <c r="F123" s="3" t="str">
        <f t="shared" si="2"/>
        <v>22-Jun</v>
      </c>
      <c r="G123" s="3" t="str">
        <f t="shared" si="3"/>
        <v>Wednesday</v>
      </c>
      <c r="H123" t="s">
        <v>24</v>
      </c>
      <c r="I123" t="s">
        <v>19</v>
      </c>
      <c r="J123" t="s">
        <v>310</v>
      </c>
      <c r="K123" t="s">
        <v>21</v>
      </c>
      <c r="L123">
        <v>9</v>
      </c>
    </row>
    <row r="124" spans="1:12">
      <c r="A124">
        <v>123</v>
      </c>
      <c r="B124" t="s">
        <v>311</v>
      </c>
      <c r="C124" t="s">
        <v>303</v>
      </c>
      <c r="D124" t="s">
        <v>17</v>
      </c>
      <c r="E124" s="3">
        <v>44727</v>
      </c>
      <c r="F124" s="3" t="str">
        <f t="shared" si="2"/>
        <v>15-Jun</v>
      </c>
      <c r="G124" s="3" t="str">
        <f t="shared" si="3"/>
        <v>Wednesday</v>
      </c>
      <c r="H124" t="s">
        <v>18</v>
      </c>
      <c r="I124" t="s">
        <v>30</v>
      </c>
      <c r="J124" t="s">
        <v>312</v>
      </c>
      <c r="K124" t="s">
        <v>26</v>
      </c>
      <c r="L124">
        <v>8</v>
      </c>
    </row>
    <row r="125" spans="1:12">
      <c r="A125">
        <v>124</v>
      </c>
      <c r="B125" t="s">
        <v>313</v>
      </c>
      <c r="C125" t="s">
        <v>305</v>
      </c>
      <c r="D125" t="s">
        <v>23</v>
      </c>
      <c r="E125" s="3">
        <v>44737</v>
      </c>
      <c r="F125" s="3" t="str">
        <f t="shared" si="2"/>
        <v>25-Jun</v>
      </c>
      <c r="G125" s="3" t="str">
        <f t="shared" si="3"/>
        <v>Saturday</v>
      </c>
      <c r="H125" t="s">
        <v>24</v>
      </c>
      <c r="I125" t="s">
        <v>19</v>
      </c>
      <c r="J125" t="s">
        <v>314</v>
      </c>
      <c r="K125" t="s">
        <v>32</v>
      </c>
      <c r="L125">
        <v>8</v>
      </c>
    </row>
    <row r="126" spans="1:12">
      <c r="A126">
        <v>125</v>
      </c>
      <c r="B126" t="s">
        <v>315</v>
      </c>
      <c r="C126" t="s">
        <v>307</v>
      </c>
      <c r="D126" t="s">
        <v>28</v>
      </c>
      <c r="E126" s="3">
        <v>44747</v>
      </c>
      <c r="F126" s="3" t="str">
        <f t="shared" si="2"/>
        <v>05-Jul</v>
      </c>
      <c r="G126" s="3" t="str">
        <f t="shared" si="3"/>
        <v>Tuesday</v>
      </c>
      <c r="H126" t="s">
        <v>29</v>
      </c>
      <c r="I126" t="s">
        <v>19</v>
      </c>
      <c r="J126" t="s">
        <v>316</v>
      </c>
      <c r="K126" t="s">
        <v>21</v>
      </c>
      <c r="L126">
        <v>7</v>
      </c>
    </row>
    <row r="127" spans="1:12">
      <c r="A127">
        <v>126</v>
      </c>
      <c r="B127" t="s">
        <v>317</v>
      </c>
      <c r="C127" t="s">
        <v>309</v>
      </c>
      <c r="D127" t="s">
        <v>34</v>
      </c>
      <c r="E127" s="3">
        <v>44754</v>
      </c>
      <c r="F127" s="3" t="str">
        <f t="shared" si="2"/>
        <v>12-Jul</v>
      </c>
      <c r="G127" s="3" t="str">
        <f t="shared" si="3"/>
        <v>Tuesday</v>
      </c>
      <c r="H127" t="s">
        <v>18</v>
      </c>
      <c r="I127" t="s">
        <v>19</v>
      </c>
      <c r="J127" t="s">
        <v>318</v>
      </c>
      <c r="K127" t="s">
        <v>26</v>
      </c>
      <c r="L127">
        <v>8</v>
      </c>
    </row>
    <row r="128" spans="1:12">
      <c r="A128">
        <v>127</v>
      </c>
      <c r="B128" t="s">
        <v>319</v>
      </c>
      <c r="C128" t="s">
        <v>311</v>
      </c>
      <c r="D128" t="s">
        <v>37</v>
      </c>
      <c r="E128" s="3">
        <v>44760</v>
      </c>
      <c r="F128" s="3" t="str">
        <f t="shared" si="2"/>
        <v>18-Jul</v>
      </c>
      <c r="G128" s="3" t="str">
        <f t="shared" si="3"/>
        <v>Monday</v>
      </c>
      <c r="H128" t="s">
        <v>24</v>
      </c>
      <c r="I128" t="s">
        <v>19</v>
      </c>
      <c r="J128" t="s">
        <v>320</v>
      </c>
      <c r="K128" t="s">
        <v>32</v>
      </c>
      <c r="L128">
        <v>9</v>
      </c>
    </row>
    <row r="129" spans="1:12">
      <c r="A129">
        <v>128</v>
      </c>
      <c r="B129" t="s">
        <v>321</v>
      </c>
      <c r="C129" t="s">
        <v>313</v>
      </c>
      <c r="D129" t="s">
        <v>40</v>
      </c>
      <c r="E129" s="3">
        <v>44759</v>
      </c>
      <c r="F129" s="3" t="str">
        <f t="shared" si="2"/>
        <v>17-Jul</v>
      </c>
      <c r="G129" s="3" t="str">
        <f t="shared" si="3"/>
        <v>Sunday</v>
      </c>
      <c r="H129" t="s">
        <v>24</v>
      </c>
      <c r="I129" t="s">
        <v>19</v>
      </c>
      <c r="J129" t="s">
        <v>322</v>
      </c>
      <c r="K129" t="s">
        <v>21</v>
      </c>
      <c r="L129">
        <v>7</v>
      </c>
    </row>
    <row r="130" spans="1:12">
      <c r="A130">
        <v>129</v>
      </c>
      <c r="B130" t="s">
        <v>323</v>
      </c>
      <c r="C130" t="s">
        <v>315</v>
      </c>
      <c r="D130" t="s">
        <v>43</v>
      </c>
      <c r="E130" s="3">
        <v>44735</v>
      </c>
      <c r="F130" s="3" t="str">
        <f t="shared" ref="F130:F193" si="4">TEXT(E130,"dd-mmm")</f>
        <v>23-Jun</v>
      </c>
      <c r="G130" s="3" t="str">
        <f t="shared" ref="G130:G193" si="5">TEXT(E130,"dddd")</f>
        <v>Thursday</v>
      </c>
      <c r="H130" t="s">
        <v>18</v>
      </c>
      <c r="I130" t="s">
        <v>19</v>
      </c>
      <c r="J130" t="s">
        <v>324</v>
      </c>
      <c r="K130" t="s">
        <v>26</v>
      </c>
      <c r="L130">
        <v>8</v>
      </c>
    </row>
    <row r="131" spans="1:12">
      <c r="A131">
        <v>130</v>
      </c>
      <c r="B131" t="s">
        <v>325</v>
      </c>
      <c r="C131" t="s">
        <v>317</v>
      </c>
      <c r="D131" t="s">
        <v>43</v>
      </c>
      <c r="E131" s="3">
        <v>44734</v>
      </c>
      <c r="F131" s="3" t="str">
        <f t="shared" si="4"/>
        <v>22-Jun</v>
      </c>
      <c r="G131" s="3" t="str">
        <f t="shared" si="5"/>
        <v>Wednesday</v>
      </c>
      <c r="H131" t="s">
        <v>24</v>
      </c>
      <c r="I131" t="s">
        <v>19</v>
      </c>
      <c r="J131" t="s">
        <v>326</v>
      </c>
      <c r="K131" t="s">
        <v>32</v>
      </c>
      <c r="L131">
        <v>9</v>
      </c>
    </row>
    <row r="132" spans="1:12">
      <c r="A132">
        <v>131</v>
      </c>
      <c r="B132" t="s">
        <v>327</v>
      </c>
      <c r="C132" t="s">
        <v>319</v>
      </c>
      <c r="D132" t="s">
        <v>49</v>
      </c>
      <c r="E132" s="3">
        <v>44753</v>
      </c>
      <c r="F132" s="3" t="str">
        <f t="shared" si="4"/>
        <v>11-Jul</v>
      </c>
      <c r="G132" s="3" t="str">
        <f t="shared" si="5"/>
        <v>Monday</v>
      </c>
      <c r="H132" t="s">
        <v>18</v>
      </c>
      <c r="I132" t="s">
        <v>19</v>
      </c>
      <c r="J132" t="s">
        <v>328</v>
      </c>
      <c r="K132" t="s">
        <v>21</v>
      </c>
      <c r="L132">
        <v>8</v>
      </c>
    </row>
    <row r="133" spans="1:12">
      <c r="A133">
        <v>132</v>
      </c>
      <c r="B133" t="s">
        <v>329</v>
      </c>
      <c r="C133" t="s">
        <v>321</v>
      </c>
      <c r="D133" t="s">
        <v>40</v>
      </c>
      <c r="E133" s="3">
        <v>44739</v>
      </c>
      <c r="F133" s="3" t="str">
        <f t="shared" si="4"/>
        <v>27-Jun</v>
      </c>
      <c r="G133" s="3" t="str">
        <f t="shared" si="5"/>
        <v>Monday</v>
      </c>
      <c r="H133" t="s">
        <v>24</v>
      </c>
      <c r="I133" t="s">
        <v>19</v>
      </c>
      <c r="J133" t="s">
        <v>330</v>
      </c>
      <c r="K133" t="s">
        <v>26</v>
      </c>
      <c r="L133">
        <v>7</v>
      </c>
    </row>
    <row r="134" spans="1:12">
      <c r="A134">
        <v>133</v>
      </c>
      <c r="B134" t="s">
        <v>331</v>
      </c>
      <c r="C134" t="s">
        <v>323</v>
      </c>
      <c r="D134" t="s">
        <v>54</v>
      </c>
      <c r="E134" s="3">
        <v>44740</v>
      </c>
      <c r="F134" s="3" t="str">
        <f t="shared" si="4"/>
        <v>28-Jun</v>
      </c>
      <c r="G134" s="3" t="str">
        <f t="shared" si="5"/>
        <v>Tuesday</v>
      </c>
      <c r="H134" t="s">
        <v>24</v>
      </c>
      <c r="I134" t="s">
        <v>19</v>
      </c>
      <c r="J134" t="s">
        <v>332</v>
      </c>
      <c r="K134" t="s">
        <v>32</v>
      </c>
      <c r="L134">
        <v>10</v>
      </c>
    </row>
    <row r="135" spans="1:12">
      <c r="A135">
        <v>134</v>
      </c>
      <c r="B135" t="s">
        <v>333</v>
      </c>
      <c r="C135" t="s">
        <v>325</v>
      </c>
      <c r="D135" t="s">
        <v>57</v>
      </c>
      <c r="E135" s="3">
        <v>44748</v>
      </c>
      <c r="F135" s="3" t="str">
        <f t="shared" si="4"/>
        <v>06-Jul</v>
      </c>
      <c r="G135" s="3" t="str">
        <f t="shared" si="5"/>
        <v>Wednesday</v>
      </c>
      <c r="H135" t="s">
        <v>18</v>
      </c>
      <c r="I135" t="s">
        <v>19</v>
      </c>
      <c r="J135" t="s">
        <v>334</v>
      </c>
      <c r="K135" t="s">
        <v>21</v>
      </c>
      <c r="L135">
        <v>7</v>
      </c>
    </row>
    <row r="136" spans="1:12">
      <c r="A136">
        <v>135</v>
      </c>
      <c r="B136" t="s">
        <v>335</v>
      </c>
      <c r="C136" t="s">
        <v>327</v>
      </c>
      <c r="D136" t="s">
        <v>60</v>
      </c>
      <c r="E136" s="3">
        <v>44731</v>
      </c>
      <c r="F136" s="3" t="str">
        <f t="shared" si="4"/>
        <v>19-Jun</v>
      </c>
      <c r="G136" s="3" t="str">
        <f t="shared" si="5"/>
        <v>Sunday</v>
      </c>
      <c r="H136" t="s">
        <v>24</v>
      </c>
      <c r="I136" t="s">
        <v>19</v>
      </c>
      <c r="J136" t="s">
        <v>336</v>
      </c>
      <c r="K136" t="s">
        <v>26</v>
      </c>
      <c r="L136">
        <v>8</v>
      </c>
    </row>
    <row r="137" spans="1:12">
      <c r="A137">
        <v>136</v>
      </c>
      <c r="B137" t="s">
        <v>337</v>
      </c>
      <c r="C137" t="s">
        <v>329</v>
      </c>
      <c r="D137" t="s">
        <v>63</v>
      </c>
      <c r="E137" s="3">
        <v>44763</v>
      </c>
      <c r="F137" s="3" t="str">
        <f t="shared" si="4"/>
        <v>21-Jul</v>
      </c>
      <c r="G137" s="3" t="str">
        <f t="shared" si="5"/>
        <v>Thursday</v>
      </c>
      <c r="H137" t="s">
        <v>24</v>
      </c>
      <c r="I137" t="s">
        <v>19</v>
      </c>
      <c r="J137" t="s">
        <v>338</v>
      </c>
      <c r="K137" t="s">
        <v>32</v>
      </c>
      <c r="L137">
        <v>7</v>
      </c>
    </row>
    <row r="138" spans="1:12">
      <c r="A138">
        <v>137</v>
      </c>
      <c r="B138" t="s">
        <v>339</v>
      </c>
      <c r="C138" t="s">
        <v>331</v>
      </c>
      <c r="D138" t="s">
        <v>40</v>
      </c>
      <c r="E138" s="3">
        <v>44733</v>
      </c>
      <c r="F138" s="3" t="str">
        <f t="shared" si="4"/>
        <v>21-Jun</v>
      </c>
      <c r="G138" s="3" t="str">
        <f t="shared" si="5"/>
        <v>Tuesday</v>
      </c>
      <c r="H138" t="s">
        <v>18</v>
      </c>
      <c r="I138" t="s">
        <v>19</v>
      </c>
      <c r="J138" t="s">
        <v>340</v>
      </c>
      <c r="K138" t="s">
        <v>21</v>
      </c>
      <c r="L138">
        <v>9</v>
      </c>
    </row>
    <row r="139" spans="1:12">
      <c r="A139">
        <v>138</v>
      </c>
      <c r="B139" t="s">
        <v>341</v>
      </c>
      <c r="C139" t="s">
        <v>333</v>
      </c>
      <c r="D139" t="s">
        <v>68</v>
      </c>
      <c r="E139" s="3">
        <v>44746</v>
      </c>
      <c r="F139" s="3" t="str">
        <f t="shared" si="4"/>
        <v>04-Jul</v>
      </c>
      <c r="G139" s="3" t="str">
        <f t="shared" si="5"/>
        <v>Monday</v>
      </c>
      <c r="H139" t="s">
        <v>24</v>
      </c>
      <c r="I139" t="s">
        <v>19</v>
      </c>
      <c r="J139" t="s">
        <v>342</v>
      </c>
      <c r="K139" t="s">
        <v>26</v>
      </c>
      <c r="L139">
        <v>8</v>
      </c>
    </row>
    <row r="140" spans="1:12">
      <c r="A140">
        <v>139</v>
      </c>
      <c r="B140" t="s">
        <v>343</v>
      </c>
      <c r="C140" t="s">
        <v>335</v>
      </c>
      <c r="D140" t="s">
        <v>57</v>
      </c>
      <c r="E140" s="3">
        <v>44755</v>
      </c>
      <c r="F140" s="3" t="str">
        <f t="shared" si="4"/>
        <v>13-Jul</v>
      </c>
      <c r="G140" s="3" t="str">
        <f t="shared" si="5"/>
        <v>Wednesday</v>
      </c>
      <c r="H140" t="s">
        <v>18</v>
      </c>
      <c r="I140" t="s">
        <v>19</v>
      </c>
      <c r="J140" t="s">
        <v>344</v>
      </c>
      <c r="K140" t="s">
        <v>32</v>
      </c>
      <c r="L140">
        <v>9</v>
      </c>
    </row>
    <row r="141" spans="1:12">
      <c r="A141">
        <v>140</v>
      </c>
      <c r="B141" t="s">
        <v>345</v>
      </c>
      <c r="C141" t="s">
        <v>337</v>
      </c>
      <c r="D141" t="s">
        <v>37</v>
      </c>
      <c r="E141" s="3">
        <v>44755</v>
      </c>
      <c r="F141" s="3" t="str">
        <f t="shared" si="4"/>
        <v>13-Jul</v>
      </c>
      <c r="G141" s="3" t="str">
        <f t="shared" si="5"/>
        <v>Wednesday</v>
      </c>
      <c r="H141" t="s">
        <v>24</v>
      </c>
      <c r="I141" t="s">
        <v>19</v>
      </c>
      <c r="J141" t="s">
        <v>346</v>
      </c>
      <c r="K141" t="s">
        <v>21</v>
      </c>
      <c r="L141">
        <v>9</v>
      </c>
    </row>
    <row r="142" spans="1:12">
      <c r="A142">
        <v>141</v>
      </c>
      <c r="B142" t="s">
        <v>347</v>
      </c>
      <c r="C142" t="s">
        <v>339</v>
      </c>
      <c r="D142" t="s">
        <v>75</v>
      </c>
      <c r="E142" s="3">
        <v>44727</v>
      </c>
      <c r="F142" s="3" t="str">
        <f t="shared" si="4"/>
        <v>15-Jun</v>
      </c>
      <c r="G142" s="3" t="str">
        <f t="shared" si="5"/>
        <v>Wednesday</v>
      </c>
      <c r="H142" t="s">
        <v>18</v>
      </c>
      <c r="I142" t="s">
        <v>19</v>
      </c>
      <c r="J142" t="s">
        <v>348</v>
      </c>
      <c r="K142" t="s">
        <v>26</v>
      </c>
      <c r="L142">
        <v>9</v>
      </c>
    </row>
    <row r="143" spans="1:12">
      <c r="A143">
        <v>142</v>
      </c>
      <c r="B143" t="s">
        <v>349</v>
      </c>
      <c r="C143" t="s">
        <v>341</v>
      </c>
      <c r="D143" t="s">
        <v>78</v>
      </c>
      <c r="E143" s="3">
        <v>44746</v>
      </c>
      <c r="F143" s="3" t="str">
        <f t="shared" si="4"/>
        <v>04-Jul</v>
      </c>
      <c r="G143" s="3" t="str">
        <f t="shared" si="5"/>
        <v>Monday</v>
      </c>
      <c r="H143" t="s">
        <v>24</v>
      </c>
      <c r="I143" t="s">
        <v>19</v>
      </c>
      <c r="J143" t="s">
        <v>350</v>
      </c>
      <c r="K143" t="s">
        <v>32</v>
      </c>
      <c r="L143">
        <v>9</v>
      </c>
    </row>
    <row r="144" spans="1:12">
      <c r="A144">
        <v>143</v>
      </c>
      <c r="B144" t="s">
        <v>351</v>
      </c>
      <c r="C144" t="s">
        <v>343</v>
      </c>
      <c r="D144" t="s">
        <v>81</v>
      </c>
      <c r="E144" s="3">
        <v>44740</v>
      </c>
      <c r="F144" s="3" t="str">
        <f t="shared" si="4"/>
        <v>28-Jun</v>
      </c>
      <c r="G144" s="3" t="str">
        <f t="shared" si="5"/>
        <v>Tuesday</v>
      </c>
      <c r="H144" t="s">
        <v>29</v>
      </c>
      <c r="I144" t="s">
        <v>19</v>
      </c>
      <c r="J144" t="s">
        <v>352</v>
      </c>
      <c r="K144" t="s">
        <v>21</v>
      </c>
      <c r="L144">
        <v>9</v>
      </c>
    </row>
    <row r="145" spans="1:12">
      <c r="A145">
        <v>144</v>
      </c>
      <c r="B145" t="s">
        <v>353</v>
      </c>
      <c r="C145" t="s">
        <v>345</v>
      </c>
      <c r="D145" t="s">
        <v>54</v>
      </c>
      <c r="E145" s="3">
        <v>44743</v>
      </c>
      <c r="F145" s="3" t="str">
        <f t="shared" si="4"/>
        <v>01-Jul</v>
      </c>
      <c r="G145" s="3" t="str">
        <f t="shared" si="5"/>
        <v>Friday</v>
      </c>
      <c r="H145" t="s">
        <v>18</v>
      </c>
      <c r="I145" t="s">
        <v>19</v>
      </c>
      <c r="J145" t="s">
        <v>354</v>
      </c>
      <c r="K145" t="s">
        <v>26</v>
      </c>
      <c r="L145">
        <v>8</v>
      </c>
    </row>
    <row r="146" spans="1:12">
      <c r="A146">
        <v>145</v>
      </c>
      <c r="B146" t="s">
        <v>355</v>
      </c>
      <c r="C146" t="s">
        <v>347</v>
      </c>
      <c r="D146" t="s">
        <v>87</v>
      </c>
      <c r="E146" s="3">
        <v>44737</v>
      </c>
      <c r="F146" s="3" t="str">
        <f t="shared" si="4"/>
        <v>25-Jun</v>
      </c>
      <c r="G146" s="3" t="str">
        <f t="shared" si="5"/>
        <v>Saturday</v>
      </c>
      <c r="H146" t="s">
        <v>24</v>
      </c>
      <c r="I146" t="s">
        <v>30</v>
      </c>
      <c r="J146" t="s">
        <v>356</v>
      </c>
      <c r="K146" t="s">
        <v>32</v>
      </c>
      <c r="L146">
        <v>8</v>
      </c>
    </row>
    <row r="147" spans="1:12">
      <c r="A147">
        <v>146</v>
      </c>
      <c r="B147" t="s">
        <v>357</v>
      </c>
      <c r="C147" t="s">
        <v>349</v>
      </c>
      <c r="D147" t="s">
        <v>90</v>
      </c>
      <c r="E147" s="3">
        <v>44757</v>
      </c>
      <c r="F147" s="3" t="str">
        <f t="shared" si="4"/>
        <v>15-Jul</v>
      </c>
      <c r="G147" s="3" t="str">
        <f t="shared" si="5"/>
        <v>Friday</v>
      </c>
      <c r="H147" t="s">
        <v>24</v>
      </c>
      <c r="I147" t="s">
        <v>19</v>
      </c>
      <c r="J147" t="s">
        <v>358</v>
      </c>
      <c r="K147" t="s">
        <v>21</v>
      </c>
      <c r="L147">
        <v>7</v>
      </c>
    </row>
    <row r="148" spans="1:12">
      <c r="A148">
        <v>147</v>
      </c>
      <c r="B148" t="s">
        <v>359</v>
      </c>
      <c r="C148" t="s">
        <v>351</v>
      </c>
      <c r="D148" t="s">
        <v>93</v>
      </c>
      <c r="E148" s="3">
        <v>44745</v>
      </c>
      <c r="F148" s="3" t="str">
        <f t="shared" si="4"/>
        <v>03-Jul</v>
      </c>
      <c r="G148" s="3" t="str">
        <f t="shared" si="5"/>
        <v>Sunday</v>
      </c>
      <c r="H148" t="s">
        <v>18</v>
      </c>
      <c r="I148" t="s">
        <v>19</v>
      </c>
      <c r="J148" t="s">
        <v>360</v>
      </c>
      <c r="K148" t="s">
        <v>26</v>
      </c>
      <c r="L148">
        <v>7</v>
      </c>
    </row>
    <row r="149" spans="1:12">
      <c r="A149">
        <v>148</v>
      </c>
      <c r="B149" t="s">
        <v>361</v>
      </c>
      <c r="C149" t="s">
        <v>353</v>
      </c>
      <c r="D149" t="s">
        <v>96</v>
      </c>
      <c r="E149" s="3">
        <v>44760</v>
      </c>
      <c r="F149" s="3" t="str">
        <f t="shared" si="4"/>
        <v>18-Jul</v>
      </c>
      <c r="G149" s="3" t="str">
        <f t="shared" si="5"/>
        <v>Monday</v>
      </c>
      <c r="H149" t="s">
        <v>24</v>
      </c>
      <c r="I149" t="s">
        <v>19</v>
      </c>
      <c r="J149" t="s">
        <v>362</v>
      </c>
      <c r="K149" t="s">
        <v>32</v>
      </c>
      <c r="L149">
        <v>9</v>
      </c>
    </row>
    <row r="150" spans="1:12">
      <c r="A150">
        <v>149</v>
      </c>
      <c r="B150" t="s">
        <v>363</v>
      </c>
      <c r="C150" t="s">
        <v>355</v>
      </c>
      <c r="D150" t="s">
        <v>99</v>
      </c>
      <c r="E150" s="3">
        <v>44750</v>
      </c>
      <c r="F150" s="3" t="str">
        <f t="shared" si="4"/>
        <v>08-Jul</v>
      </c>
      <c r="G150" s="3" t="str">
        <f t="shared" si="5"/>
        <v>Friday</v>
      </c>
      <c r="H150" t="s">
        <v>18</v>
      </c>
      <c r="I150" t="s">
        <v>19</v>
      </c>
      <c r="J150" t="s">
        <v>364</v>
      </c>
      <c r="K150" t="s">
        <v>21</v>
      </c>
      <c r="L150">
        <v>8</v>
      </c>
    </row>
    <row r="151" spans="1:12">
      <c r="A151">
        <v>150</v>
      </c>
      <c r="B151" t="s">
        <v>365</v>
      </c>
      <c r="C151" t="s">
        <v>357</v>
      </c>
      <c r="D151" t="s">
        <v>103</v>
      </c>
      <c r="E151" s="3">
        <v>44742</v>
      </c>
      <c r="F151" s="3" t="str">
        <f t="shared" si="4"/>
        <v>30-Jun</v>
      </c>
      <c r="G151" s="3" t="str">
        <f t="shared" si="5"/>
        <v>Thursday</v>
      </c>
      <c r="H151" t="s">
        <v>24</v>
      </c>
      <c r="I151" t="s">
        <v>19</v>
      </c>
      <c r="J151" t="s">
        <v>366</v>
      </c>
      <c r="K151" t="s">
        <v>21</v>
      </c>
      <c r="L151">
        <v>8</v>
      </c>
    </row>
    <row r="152" spans="1:12">
      <c r="A152">
        <v>151</v>
      </c>
      <c r="B152" t="s">
        <v>367</v>
      </c>
      <c r="C152" t="s">
        <v>359</v>
      </c>
      <c r="D152" t="s">
        <v>106</v>
      </c>
      <c r="E152" s="3">
        <v>44754</v>
      </c>
      <c r="F152" s="3" t="str">
        <f t="shared" si="4"/>
        <v>12-Jul</v>
      </c>
      <c r="G152" s="3" t="str">
        <f t="shared" si="5"/>
        <v>Tuesday</v>
      </c>
      <c r="H152" t="s">
        <v>24</v>
      </c>
      <c r="I152" t="s">
        <v>30</v>
      </c>
      <c r="J152" t="s">
        <v>368</v>
      </c>
      <c r="K152" t="s">
        <v>21</v>
      </c>
      <c r="L152">
        <v>10</v>
      </c>
    </row>
    <row r="153" spans="1:12">
      <c r="A153">
        <v>152</v>
      </c>
      <c r="B153" t="s">
        <v>369</v>
      </c>
      <c r="C153" t="s">
        <v>361</v>
      </c>
      <c r="D153" t="s">
        <v>109</v>
      </c>
      <c r="E153" s="3">
        <v>44746</v>
      </c>
      <c r="F153" s="3" t="str">
        <f t="shared" si="4"/>
        <v>04-Jul</v>
      </c>
      <c r="G153" s="3" t="str">
        <f t="shared" si="5"/>
        <v>Monday</v>
      </c>
      <c r="H153" t="s">
        <v>18</v>
      </c>
      <c r="I153" t="s">
        <v>19</v>
      </c>
      <c r="J153" t="s">
        <v>370</v>
      </c>
      <c r="K153" t="s">
        <v>26</v>
      </c>
      <c r="L153">
        <v>8</v>
      </c>
    </row>
    <row r="154" spans="1:12">
      <c r="A154">
        <v>153</v>
      </c>
      <c r="B154" t="s">
        <v>371</v>
      </c>
      <c r="C154" t="s">
        <v>363</v>
      </c>
      <c r="D154" t="s">
        <v>112</v>
      </c>
      <c r="E154" s="3">
        <v>44752</v>
      </c>
      <c r="F154" s="3" t="str">
        <f t="shared" si="4"/>
        <v>10-Jul</v>
      </c>
      <c r="G154" s="3" t="str">
        <f t="shared" si="5"/>
        <v>Sunday</v>
      </c>
      <c r="H154" t="s">
        <v>24</v>
      </c>
      <c r="I154" t="s">
        <v>19</v>
      </c>
      <c r="J154" t="s">
        <v>372</v>
      </c>
      <c r="K154" t="s">
        <v>32</v>
      </c>
      <c r="L154">
        <v>8</v>
      </c>
    </row>
    <row r="155" spans="1:12">
      <c r="A155">
        <v>154</v>
      </c>
      <c r="B155" t="s">
        <v>373</v>
      </c>
      <c r="C155" t="s">
        <v>365</v>
      </c>
      <c r="D155" t="s">
        <v>115</v>
      </c>
      <c r="E155" s="3">
        <v>44725</v>
      </c>
      <c r="F155" s="3" t="str">
        <f t="shared" si="4"/>
        <v>13-Jun</v>
      </c>
      <c r="G155" s="3" t="str">
        <f t="shared" si="5"/>
        <v>Monday</v>
      </c>
      <c r="H155" t="s">
        <v>24</v>
      </c>
      <c r="I155" t="s">
        <v>19</v>
      </c>
      <c r="J155" t="s">
        <v>374</v>
      </c>
      <c r="K155" t="s">
        <v>21</v>
      </c>
      <c r="L155">
        <v>8</v>
      </c>
    </row>
    <row r="156" spans="1:12">
      <c r="A156">
        <v>155</v>
      </c>
      <c r="B156" t="s">
        <v>375</v>
      </c>
      <c r="C156" t="s">
        <v>367</v>
      </c>
      <c r="D156" t="s">
        <v>63</v>
      </c>
      <c r="E156" s="3">
        <v>44734</v>
      </c>
      <c r="F156" s="3" t="str">
        <f t="shared" si="4"/>
        <v>22-Jun</v>
      </c>
      <c r="G156" s="3" t="str">
        <f t="shared" si="5"/>
        <v>Wednesday</v>
      </c>
      <c r="H156" t="s">
        <v>18</v>
      </c>
      <c r="I156" t="s">
        <v>19</v>
      </c>
      <c r="J156" t="s">
        <v>376</v>
      </c>
      <c r="K156" t="s">
        <v>26</v>
      </c>
      <c r="L156">
        <v>8</v>
      </c>
    </row>
    <row r="157" spans="1:12">
      <c r="A157">
        <v>156</v>
      </c>
      <c r="B157" t="s">
        <v>377</v>
      </c>
      <c r="C157" t="s">
        <v>369</v>
      </c>
      <c r="D157" t="s">
        <v>87</v>
      </c>
      <c r="E157" s="3">
        <v>44761</v>
      </c>
      <c r="F157" s="3" t="str">
        <f t="shared" si="4"/>
        <v>19-Jul</v>
      </c>
      <c r="G157" s="3" t="str">
        <f t="shared" si="5"/>
        <v>Tuesday</v>
      </c>
      <c r="H157" t="s">
        <v>24</v>
      </c>
      <c r="I157" t="s">
        <v>19</v>
      </c>
      <c r="J157" t="s">
        <v>378</v>
      </c>
      <c r="K157" t="s">
        <v>32</v>
      </c>
      <c r="L157">
        <v>7</v>
      </c>
    </row>
    <row r="158" spans="1:12">
      <c r="A158">
        <v>157</v>
      </c>
      <c r="B158" t="s">
        <v>379</v>
      </c>
      <c r="C158" t="s">
        <v>371</v>
      </c>
      <c r="D158" t="s">
        <v>103</v>
      </c>
      <c r="E158" s="3">
        <v>44735</v>
      </c>
      <c r="F158" s="3" t="str">
        <f t="shared" si="4"/>
        <v>23-Jun</v>
      </c>
      <c r="G158" s="3" t="str">
        <f t="shared" si="5"/>
        <v>Thursday</v>
      </c>
      <c r="H158" t="s">
        <v>18</v>
      </c>
      <c r="I158" t="s">
        <v>19</v>
      </c>
      <c r="J158" t="s">
        <v>380</v>
      </c>
      <c r="K158" t="s">
        <v>21</v>
      </c>
      <c r="L158">
        <v>7</v>
      </c>
    </row>
    <row r="159" spans="1:12">
      <c r="A159">
        <v>158</v>
      </c>
      <c r="B159" t="s">
        <v>381</v>
      </c>
      <c r="C159" t="s">
        <v>373</v>
      </c>
      <c r="D159" t="s">
        <v>37</v>
      </c>
      <c r="E159" s="3">
        <v>44753</v>
      </c>
      <c r="F159" s="3" t="str">
        <f t="shared" si="4"/>
        <v>11-Jul</v>
      </c>
      <c r="G159" s="3" t="str">
        <f t="shared" si="5"/>
        <v>Monday</v>
      </c>
      <c r="H159" t="s">
        <v>24</v>
      </c>
      <c r="I159" t="s">
        <v>19</v>
      </c>
      <c r="J159" t="s">
        <v>382</v>
      </c>
      <c r="K159" t="s">
        <v>26</v>
      </c>
      <c r="L159">
        <v>9</v>
      </c>
    </row>
    <row r="160" spans="1:12">
      <c r="A160">
        <v>159</v>
      </c>
      <c r="B160" t="s">
        <v>383</v>
      </c>
      <c r="C160" t="s">
        <v>375</v>
      </c>
      <c r="D160" t="s">
        <v>68</v>
      </c>
      <c r="E160" s="3">
        <v>44732</v>
      </c>
      <c r="F160" s="3" t="str">
        <f t="shared" si="4"/>
        <v>20-Jun</v>
      </c>
      <c r="G160" s="3" t="str">
        <f t="shared" si="5"/>
        <v>Monday</v>
      </c>
      <c r="H160" t="s">
        <v>18</v>
      </c>
      <c r="I160" t="s">
        <v>19</v>
      </c>
      <c r="J160" t="s">
        <v>384</v>
      </c>
      <c r="K160" t="s">
        <v>32</v>
      </c>
      <c r="L160">
        <v>7</v>
      </c>
    </row>
    <row r="161" spans="1:12">
      <c r="A161">
        <v>160</v>
      </c>
      <c r="B161" t="s">
        <v>385</v>
      </c>
      <c r="C161" t="s">
        <v>377</v>
      </c>
      <c r="D161" t="s">
        <v>109</v>
      </c>
      <c r="E161" s="3">
        <v>44748</v>
      </c>
      <c r="F161" s="3" t="str">
        <f t="shared" si="4"/>
        <v>06-Jul</v>
      </c>
      <c r="G161" s="3" t="str">
        <f t="shared" si="5"/>
        <v>Wednesday</v>
      </c>
      <c r="H161" t="s">
        <v>24</v>
      </c>
      <c r="I161" t="s">
        <v>19</v>
      </c>
      <c r="J161" t="s">
        <v>386</v>
      </c>
      <c r="K161" t="s">
        <v>21</v>
      </c>
      <c r="L161">
        <v>9</v>
      </c>
    </row>
    <row r="162" spans="1:12">
      <c r="A162">
        <v>161</v>
      </c>
      <c r="B162" t="s">
        <v>387</v>
      </c>
      <c r="C162" t="s">
        <v>379</v>
      </c>
      <c r="D162" t="s">
        <v>112</v>
      </c>
      <c r="E162" s="3">
        <v>44731</v>
      </c>
      <c r="F162" s="3" t="str">
        <f t="shared" si="4"/>
        <v>19-Jun</v>
      </c>
      <c r="G162" s="3" t="str">
        <f t="shared" si="5"/>
        <v>Sunday</v>
      </c>
      <c r="H162" t="s">
        <v>29</v>
      </c>
      <c r="I162" t="s">
        <v>19</v>
      </c>
      <c r="J162" t="s">
        <v>388</v>
      </c>
      <c r="K162" t="s">
        <v>26</v>
      </c>
      <c r="L162">
        <v>10</v>
      </c>
    </row>
    <row r="163" spans="1:12">
      <c r="A163">
        <v>162</v>
      </c>
      <c r="B163" t="s">
        <v>389</v>
      </c>
      <c r="C163" t="s">
        <v>381</v>
      </c>
      <c r="D163" t="s">
        <v>134</v>
      </c>
      <c r="E163" s="3">
        <v>44725</v>
      </c>
      <c r="F163" s="3" t="str">
        <f t="shared" si="4"/>
        <v>13-Jun</v>
      </c>
      <c r="G163" s="3" t="str">
        <f t="shared" si="5"/>
        <v>Monday</v>
      </c>
      <c r="H163" t="s">
        <v>18</v>
      </c>
      <c r="I163" t="s">
        <v>19</v>
      </c>
      <c r="J163" t="s">
        <v>390</v>
      </c>
      <c r="K163" t="s">
        <v>32</v>
      </c>
      <c r="L163">
        <v>7</v>
      </c>
    </row>
    <row r="164" spans="1:12">
      <c r="A164">
        <v>163</v>
      </c>
      <c r="B164" t="s">
        <v>391</v>
      </c>
      <c r="C164" t="s">
        <v>383</v>
      </c>
      <c r="D164" t="s">
        <v>277</v>
      </c>
      <c r="E164" s="3">
        <v>44753</v>
      </c>
      <c r="F164" s="3" t="str">
        <f t="shared" si="4"/>
        <v>11-Jul</v>
      </c>
      <c r="G164" s="3" t="str">
        <f t="shared" si="5"/>
        <v>Monday</v>
      </c>
      <c r="H164" t="s">
        <v>24</v>
      </c>
      <c r="I164" t="s">
        <v>19</v>
      </c>
      <c r="J164" t="s">
        <v>392</v>
      </c>
      <c r="K164" t="s">
        <v>21</v>
      </c>
      <c r="L164">
        <v>10</v>
      </c>
    </row>
    <row r="165" spans="1:12">
      <c r="A165">
        <v>164</v>
      </c>
      <c r="B165" t="s">
        <v>393</v>
      </c>
      <c r="C165" t="s">
        <v>385</v>
      </c>
      <c r="D165" t="s">
        <v>139</v>
      </c>
      <c r="E165" s="3">
        <v>44738</v>
      </c>
      <c r="F165" s="3" t="str">
        <f t="shared" si="4"/>
        <v>26-Jun</v>
      </c>
      <c r="G165" s="3" t="str">
        <f t="shared" si="5"/>
        <v>Sunday</v>
      </c>
      <c r="H165" t="s">
        <v>24</v>
      </c>
      <c r="I165" t="s">
        <v>19</v>
      </c>
      <c r="J165" t="s">
        <v>394</v>
      </c>
      <c r="K165" t="s">
        <v>26</v>
      </c>
      <c r="L165">
        <v>9</v>
      </c>
    </row>
    <row r="166" spans="1:12">
      <c r="A166">
        <v>165</v>
      </c>
      <c r="B166" t="s">
        <v>395</v>
      </c>
      <c r="C166" t="s">
        <v>387</v>
      </c>
      <c r="D166" t="s">
        <v>142</v>
      </c>
      <c r="E166" s="3">
        <v>44762</v>
      </c>
      <c r="F166" s="3" t="str">
        <f t="shared" si="4"/>
        <v>20-Jul</v>
      </c>
      <c r="G166" s="3" t="str">
        <f t="shared" si="5"/>
        <v>Wednesday</v>
      </c>
      <c r="H166" t="s">
        <v>18</v>
      </c>
      <c r="I166" t="s">
        <v>19</v>
      </c>
      <c r="J166" t="s">
        <v>396</v>
      </c>
      <c r="K166" t="s">
        <v>32</v>
      </c>
      <c r="L166">
        <v>8</v>
      </c>
    </row>
    <row r="167" spans="1:12">
      <c r="A167">
        <v>166</v>
      </c>
      <c r="B167" t="s">
        <v>397</v>
      </c>
      <c r="C167" t="s">
        <v>389</v>
      </c>
      <c r="D167" t="s">
        <v>145</v>
      </c>
      <c r="E167" s="3">
        <v>44756</v>
      </c>
      <c r="F167" s="3" t="str">
        <f t="shared" si="4"/>
        <v>14-Jul</v>
      </c>
      <c r="G167" s="3" t="str">
        <f t="shared" si="5"/>
        <v>Thursday</v>
      </c>
      <c r="H167" t="s">
        <v>24</v>
      </c>
      <c r="I167" t="s">
        <v>19</v>
      </c>
      <c r="J167" t="s">
        <v>398</v>
      </c>
      <c r="K167" t="s">
        <v>21</v>
      </c>
      <c r="L167">
        <v>7</v>
      </c>
    </row>
    <row r="168" spans="1:12">
      <c r="A168">
        <v>167</v>
      </c>
      <c r="B168" t="s">
        <v>399</v>
      </c>
      <c r="C168" t="s">
        <v>391</v>
      </c>
      <c r="D168" t="s">
        <v>54</v>
      </c>
      <c r="E168" s="3">
        <v>44744</v>
      </c>
      <c r="F168" s="3" t="str">
        <f t="shared" si="4"/>
        <v>02-Jul</v>
      </c>
      <c r="G168" s="3" t="str">
        <f t="shared" si="5"/>
        <v>Saturday</v>
      </c>
      <c r="H168" t="s">
        <v>18</v>
      </c>
      <c r="I168" t="s">
        <v>19</v>
      </c>
      <c r="J168" t="s">
        <v>400</v>
      </c>
      <c r="K168" t="s">
        <v>26</v>
      </c>
      <c r="L168">
        <v>7</v>
      </c>
    </row>
    <row r="169" spans="1:12">
      <c r="A169">
        <v>168</v>
      </c>
      <c r="B169" t="s">
        <v>401</v>
      </c>
      <c r="C169" t="s">
        <v>393</v>
      </c>
      <c r="D169" t="s">
        <v>151</v>
      </c>
      <c r="E169" s="3">
        <v>44753</v>
      </c>
      <c r="F169" s="3" t="str">
        <f t="shared" si="4"/>
        <v>11-Jul</v>
      </c>
      <c r="G169" s="3" t="str">
        <f t="shared" si="5"/>
        <v>Monday</v>
      </c>
      <c r="H169" t="s">
        <v>24</v>
      </c>
      <c r="I169" t="s">
        <v>19</v>
      </c>
      <c r="J169" t="s">
        <v>402</v>
      </c>
      <c r="K169" t="s">
        <v>32</v>
      </c>
      <c r="L169">
        <v>7</v>
      </c>
    </row>
    <row r="170" spans="1:12">
      <c r="A170">
        <v>169</v>
      </c>
      <c r="B170" t="s">
        <v>403</v>
      </c>
      <c r="C170" t="s">
        <v>395</v>
      </c>
      <c r="D170" t="s">
        <v>154</v>
      </c>
      <c r="E170" s="3">
        <v>44762</v>
      </c>
      <c r="F170" s="3" t="str">
        <f t="shared" si="4"/>
        <v>20-Jul</v>
      </c>
      <c r="G170" s="3" t="str">
        <f t="shared" si="5"/>
        <v>Wednesday</v>
      </c>
      <c r="H170" t="s">
        <v>24</v>
      </c>
      <c r="I170" t="s">
        <v>19</v>
      </c>
      <c r="J170" t="s">
        <v>404</v>
      </c>
      <c r="K170" t="s">
        <v>21</v>
      </c>
      <c r="L170">
        <v>10</v>
      </c>
    </row>
    <row r="171" spans="1:12">
      <c r="A171">
        <v>170</v>
      </c>
      <c r="B171" t="s">
        <v>405</v>
      </c>
      <c r="C171" t="s">
        <v>397</v>
      </c>
      <c r="D171" t="s">
        <v>157</v>
      </c>
      <c r="E171" s="3">
        <v>44740</v>
      </c>
      <c r="F171" s="3" t="str">
        <f t="shared" si="4"/>
        <v>28-Jun</v>
      </c>
      <c r="G171" s="3" t="str">
        <f t="shared" si="5"/>
        <v>Tuesday</v>
      </c>
      <c r="H171" t="s">
        <v>18</v>
      </c>
      <c r="I171" t="s">
        <v>19</v>
      </c>
      <c r="J171" t="s">
        <v>406</v>
      </c>
      <c r="K171" t="s">
        <v>26</v>
      </c>
      <c r="L171">
        <v>7</v>
      </c>
    </row>
    <row r="172" spans="1:12">
      <c r="A172">
        <v>171</v>
      </c>
      <c r="B172" t="s">
        <v>407</v>
      </c>
      <c r="C172" t="s">
        <v>399</v>
      </c>
      <c r="D172" t="s">
        <v>160</v>
      </c>
      <c r="E172" s="3">
        <v>44729</v>
      </c>
      <c r="F172" s="3" t="str">
        <f t="shared" si="4"/>
        <v>17-Jun</v>
      </c>
      <c r="G172" s="3" t="str">
        <f t="shared" si="5"/>
        <v>Friday</v>
      </c>
      <c r="H172" t="s">
        <v>24</v>
      </c>
      <c r="I172" t="s">
        <v>19</v>
      </c>
      <c r="J172" t="s">
        <v>408</v>
      </c>
      <c r="K172" t="s">
        <v>32</v>
      </c>
      <c r="L172">
        <v>10</v>
      </c>
    </row>
    <row r="173" spans="1:12">
      <c r="A173">
        <v>172</v>
      </c>
      <c r="B173" t="s">
        <v>409</v>
      </c>
      <c r="C173" t="s">
        <v>401</v>
      </c>
      <c r="D173" t="s">
        <v>163</v>
      </c>
      <c r="E173" s="3">
        <v>44727</v>
      </c>
      <c r="F173" s="3" t="str">
        <f t="shared" si="4"/>
        <v>15-Jun</v>
      </c>
      <c r="G173" s="3" t="str">
        <f t="shared" si="5"/>
        <v>Wednesday</v>
      </c>
      <c r="H173" t="s">
        <v>24</v>
      </c>
      <c r="I173" t="s">
        <v>19</v>
      </c>
      <c r="J173" t="s">
        <v>410</v>
      </c>
      <c r="K173" t="s">
        <v>21</v>
      </c>
      <c r="L173">
        <v>9</v>
      </c>
    </row>
    <row r="174" spans="1:12">
      <c r="A174">
        <v>173</v>
      </c>
      <c r="B174" t="s">
        <v>411</v>
      </c>
      <c r="C174" t="s">
        <v>403</v>
      </c>
      <c r="D174" t="s">
        <v>17</v>
      </c>
      <c r="E174" s="3">
        <v>44734</v>
      </c>
      <c r="F174" s="3" t="str">
        <f t="shared" si="4"/>
        <v>22-Jun</v>
      </c>
      <c r="G174" s="3" t="str">
        <f t="shared" si="5"/>
        <v>Wednesday</v>
      </c>
      <c r="H174" t="s">
        <v>18</v>
      </c>
      <c r="I174" t="s">
        <v>30</v>
      </c>
      <c r="J174" t="s">
        <v>412</v>
      </c>
      <c r="K174" t="s">
        <v>26</v>
      </c>
      <c r="L174">
        <v>10</v>
      </c>
    </row>
    <row r="175" spans="1:12">
      <c r="A175">
        <v>174</v>
      </c>
      <c r="B175" t="s">
        <v>413</v>
      </c>
      <c r="C175" t="s">
        <v>405</v>
      </c>
      <c r="D175" t="s">
        <v>23</v>
      </c>
      <c r="E175" s="3">
        <v>44744</v>
      </c>
      <c r="F175" s="3" t="str">
        <f t="shared" si="4"/>
        <v>02-Jul</v>
      </c>
      <c r="G175" s="3" t="str">
        <f t="shared" si="5"/>
        <v>Saturday</v>
      </c>
      <c r="H175" t="s">
        <v>24</v>
      </c>
      <c r="I175" t="s">
        <v>19</v>
      </c>
      <c r="J175" t="s">
        <v>414</v>
      </c>
      <c r="K175" t="s">
        <v>32</v>
      </c>
      <c r="L175">
        <v>8</v>
      </c>
    </row>
    <row r="176" spans="1:12">
      <c r="A176">
        <v>175</v>
      </c>
      <c r="B176" t="s">
        <v>415</v>
      </c>
      <c r="C176" t="s">
        <v>407</v>
      </c>
      <c r="D176" t="s">
        <v>28</v>
      </c>
      <c r="E176" s="3">
        <v>44737</v>
      </c>
      <c r="F176" s="3" t="str">
        <f t="shared" si="4"/>
        <v>25-Jun</v>
      </c>
      <c r="G176" s="3" t="str">
        <f t="shared" si="5"/>
        <v>Saturday</v>
      </c>
      <c r="H176" t="s">
        <v>18</v>
      </c>
      <c r="I176" t="s">
        <v>19</v>
      </c>
      <c r="J176" t="s">
        <v>416</v>
      </c>
      <c r="K176" t="s">
        <v>21</v>
      </c>
      <c r="L176">
        <v>9</v>
      </c>
    </row>
    <row r="177" spans="1:12">
      <c r="A177">
        <v>176</v>
      </c>
      <c r="B177" t="s">
        <v>417</v>
      </c>
      <c r="C177" t="s">
        <v>409</v>
      </c>
      <c r="D177" t="s">
        <v>34</v>
      </c>
      <c r="E177" s="3">
        <v>44752</v>
      </c>
      <c r="F177" s="3" t="str">
        <f t="shared" si="4"/>
        <v>10-Jul</v>
      </c>
      <c r="G177" s="3" t="str">
        <f t="shared" si="5"/>
        <v>Sunday</v>
      </c>
      <c r="H177" t="s">
        <v>24</v>
      </c>
      <c r="I177" t="s">
        <v>19</v>
      </c>
      <c r="J177" t="s">
        <v>418</v>
      </c>
      <c r="K177" t="s">
        <v>26</v>
      </c>
      <c r="L177">
        <v>9</v>
      </c>
    </row>
    <row r="178" spans="1:12">
      <c r="A178">
        <v>177</v>
      </c>
      <c r="B178" t="s">
        <v>419</v>
      </c>
      <c r="C178" t="s">
        <v>411</v>
      </c>
      <c r="D178" t="s">
        <v>37</v>
      </c>
      <c r="E178" s="3">
        <v>44736</v>
      </c>
      <c r="F178" s="3" t="str">
        <f t="shared" si="4"/>
        <v>24-Jun</v>
      </c>
      <c r="G178" s="3" t="str">
        <f t="shared" si="5"/>
        <v>Friday</v>
      </c>
      <c r="H178" t="s">
        <v>18</v>
      </c>
      <c r="I178" t="s">
        <v>19</v>
      </c>
      <c r="J178" t="s">
        <v>420</v>
      </c>
      <c r="K178" t="s">
        <v>32</v>
      </c>
      <c r="L178">
        <v>8</v>
      </c>
    </row>
    <row r="179" spans="1:12">
      <c r="A179">
        <v>178</v>
      </c>
      <c r="B179" t="s">
        <v>421</v>
      </c>
      <c r="C179" t="s">
        <v>413</v>
      </c>
      <c r="D179" t="s">
        <v>40</v>
      </c>
      <c r="E179" s="3">
        <v>44752</v>
      </c>
      <c r="F179" s="3" t="str">
        <f t="shared" si="4"/>
        <v>10-Jul</v>
      </c>
      <c r="G179" s="3" t="str">
        <f t="shared" si="5"/>
        <v>Sunday</v>
      </c>
      <c r="H179" t="s">
        <v>24</v>
      </c>
      <c r="I179" t="s">
        <v>19</v>
      </c>
      <c r="J179" t="s">
        <v>422</v>
      </c>
      <c r="K179" t="s">
        <v>21</v>
      </c>
      <c r="L179">
        <v>7</v>
      </c>
    </row>
    <row r="180" spans="1:12">
      <c r="A180">
        <v>179</v>
      </c>
      <c r="B180" t="s">
        <v>423</v>
      </c>
      <c r="C180" t="s">
        <v>415</v>
      </c>
      <c r="D180" t="s">
        <v>43</v>
      </c>
      <c r="E180" s="3">
        <v>44759</v>
      </c>
      <c r="F180" s="3" t="str">
        <f t="shared" si="4"/>
        <v>17-Jul</v>
      </c>
      <c r="G180" s="3" t="str">
        <f t="shared" si="5"/>
        <v>Sunday</v>
      </c>
      <c r="H180" t="s">
        <v>29</v>
      </c>
      <c r="I180" t="s">
        <v>30</v>
      </c>
      <c r="J180" t="s">
        <v>424</v>
      </c>
      <c r="K180" t="s">
        <v>26</v>
      </c>
      <c r="L180">
        <v>10</v>
      </c>
    </row>
    <row r="181" spans="1:12">
      <c r="A181">
        <v>180</v>
      </c>
      <c r="B181" t="s">
        <v>425</v>
      </c>
      <c r="C181" t="s">
        <v>417</v>
      </c>
      <c r="D181" t="s">
        <v>43</v>
      </c>
      <c r="E181" s="3">
        <v>44763</v>
      </c>
      <c r="F181" s="3" t="str">
        <f t="shared" si="4"/>
        <v>21-Jul</v>
      </c>
      <c r="G181" s="3" t="str">
        <f t="shared" si="5"/>
        <v>Thursday</v>
      </c>
      <c r="H181" t="s">
        <v>18</v>
      </c>
      <c r="I181" t="s">
        <v>19</v>
      </c>
      <c r="J181" t="s">
        <v>426</v>
      </c>
      <c r="K181" t="s">
        <v>32</v>
      </c>
      <c r="L181">
        <v>8</v>
      </c>
    </row>
    <row r="182" spans="1:12">
      <c r="A182">
        <v>181</v>
      </c>
      <c r="B182" t="s">
        <v>427</v>
      </c>
      <c r="C182" t="s">
        <v>419</v>
      </c>
      <c r="D182" t="s">
        <v>49</v>
      </c>
      <c r="E182" s="3">
        <v>44763</v>
      </c>
      <c r="F182" s="3" t="str">
        <f t="shared" si="4"/>
        <v>21-Jul</v>
      </c>
      <c r="G182" s="3" t="str">
        <f t="shared" si="5"/>
        <v>Thursday</v>
      </c>
      <c r="H182" t="s">
        <v>24</v>
      </c>
      <c r="I182" t="s">
        <v>19</v>
      </c>
      <c r="J182" t="s">
        <v>428</v>
      </c>
      <c r="K182" t="s">
        <v>21</v>
      </c>
      <c r="L182">
        <v>10</v>
      </c>
    </row>
    <row r="183" spans="1:12">
      <c r="A183">
        <v>182</v>
      </c>
      <c r="B183" t="s">
        <v>429</v>
      </c>
      <c r="C183" t="s">
        <v>421</v>
      </c>
      <c r="D183" t="s">
        <v>184</v>
      </c>
      <c r="E183" s="3">
        <v>44750</v>
      </c>
      <c r="F183" s="3" t="str">
        <f t="shared" si="4"/>
        <v>08-Jul</v>
      </c>
      <c r="G183" s="3" t="str">
        <f t="shared" si="5"/>
        <v>Friday</v>
      </c>
      <c r="H183" t="s">
        <v>24</v>
      </c>
      <c r="I183" t="s">
        <v>19</v>
      </c>
      <c r="J183" t="s">
        <v>430</v>
      </c>
      <c r="K183" t="s">
        <v>26</v>
      </c>
      <c r="L183">
        <v>7</v>
      </c>
    </row>
    <row r="184" spans="1:12">
      <c r="A184">
        <v>183</v>
      </c>
      <c r="B184" t="s">
        <v>431</v>
      </c>
      <c r="C184" t="s">
        <v>423</v>
      </c>
      <c r="D184" t="s">
        <v>54</v>
      </c>
      <c r="E184" s="3">
        <v>44751</v>
      </c>
      <c r="F184" s="3" t="str">
        <f t="shared" si="4"/>
        <v>09-Jul</v>
      </c>
      <c r="G184" s="3" t="str">
        <f t="shared" si="5"/>
        <v>Saturday</v>
      </c>
      <c r="H184" t="s">
        <v>18</v>
      </c>
      <c r="I184" t="s">
        <v>19</v>
      </c>
      <c r="J184" t="s">
        <v>432</v>
      </c>
      <c r="K184" t="s">
        <v>32</v>
      </c>
      <c r="L184">
        <v>7</v>
      </c>
    </row>
    <row r="185" spans="1:12">
      <c r="A185">
        <v>184</v>
      </c>
      <c r="B185" t="s">
        <v>433</v>
      </c>
      <c r="C185" t="s">
        <v>425</v>
      </c>
      <c r="D185" t="s">
        <v>57</v>
      </c>
      <c r="E185" s="3">
        <v>44736</v>
      </c>
      <c r="F185" s="3" t="str">
        <f t="shared" si="4"/>
        <v>24-Jun</v>
      </c>
      <c r="G185" s="3" t="str">
        <f t="shared" si="5"/>
        <v>Friday</v>
      </c>
      <c r="H185" t="s">
        <v>24</v>
      </c>
      <c r="I185" t="s">
        <v>19</v>
      </c>
      <c r="J185" t="s">
        <v>434</v>
      </c>
      <c r="K185" t="s">
        <v>21</v>
      </c>
      <c r="L185">
        <v>10</v>
      </c>
    </row>
    <row r="186" spans="1:12">
      <c r="A186">
        <v>185</v>
      </c>
      <c r="B186" t="s">
        <v>435</v>
      </c>
      <c r="C186" t="s">
        <v>427</v>
      </c>
      <c r="D186" t="s">
        <v>60</v>
      </c>
      <c r="E186" s="3">
        <v>44737</v>
      </c>
      <c r="F186" s="3" t="str">
        <f t="shared" si="4"/>
        <v>25-Jun</v>
      </c>
      <c r="G186" s="3" t="str">
        <f t="shared" si="5"/>
        <v>Saturday</v>
      </c>
      <c r="H186" t="s">
        <v>18</v>
      </c>
      <c r="I186" t="s">
        <v>19</v>
      </c>
      <c r="J186" t="s">
        <v>436</v>
      </c>
      <c r="K186" t="s">
        <v>26</v>
      </c>
      <c r="L186">
        <v>9</v>
      </c>
    </row>
    <row r="187" spans="1:12">
      <c r="A187">
        <v>186</v>
      </c>
      <c r="B187" t="s">
        <v>437</v>
      </c>
      <c r="C187" t="s">
        <v>429</v>
      </c>
      <c r="D187" t="s">
        <v>63</v>
      </c>
      <c r="E187" s="3">
        <v>44744</v>
      </c>
      <c r="F187" s="3" t="str">
        <f t="shared" si="4"/>
        <v>02-Jul</v>
      </c>
      <c r="G187" s="3" t="str">
        <f t="shared" si="5"/>
        <v>Saturday</v>
      </c>
      <c r="H187" t="s">
        <v>24</v>
      </c>
      <c r="I187" t="s">
        <v>19</v>
      </c>
      <c r="J187" t="s">
        <v>438</v>
      </c>
      <c r="K187" t="s">
        <v>32</v>
      </c>
      <c r="L187">
        <v>9</v>
      </c>
    </row>
    <row r="188" spans="1:12">
      <c r="A188">
        <v>187</v>
      </c>
      <c r="B188" t="s">
        <v>439</v>
      </c>
      <c r="C188" t="s">
        <v>431</v>
      </c>
      <c r="D188" t="s">
        <v>163</v>
      </c>
      <c r="E188" s="3">
        <v>44735</v>
      </c>
      <c r="F188" s="3" t="str">
        <f t="shared" si="4"/>
        <v>23-Jun</v>
      </c>
      <c r="G188" s="3" t="str">
        <f t="shared" si="5"/>
        <v>Thursday</v>
      </c>
      <c r="H188" t="s">
        <v>24</v>
      </c>
      <c r="I188" t="s">
        <v>19</v>
      </c>
      <c r="J188" t="s">
        <v>440</v>
      </c>
      <c r="K188" t="s">
        <v>21</v>
      </c>
      <c r="L188">
        <v>7</v>
      </c>
    </row>
    <row r="189" spans="1:12">
      <c r="A189">
        <v>188</v>
      </c>
      <c r="B189" t="s">
        <v>441</v>
      </c>
      <c r="C189" t="s">
        <v>433</v>
      </c>
      <c r="D189" t="s">
        <v>17</v>
      </c>
      <c r="E189" s="3">
        <v>44751</v>
      </c>
      <c r="F189" s="3" t="str">
        <f t="shared" si="4"/>
        <v>09-Jul</v>
      </c>
      <c r="G189" s="3" t="str">
        <f t="shared" si="5"/>
        <v>Saturday</v>
      </c>
      <c r="H189" t="s">
        <v>18</v>
      </c>
      <c r="I189" t="s">
        <v>19</v>
      </c>
      <c r="J189" t="s">
        <v>442</v>
      </c>
      <c r="K189" t="s">
        <v>26</v>
      </c>
      <c r="L189">
        <v>10</v>
      </c>
    </row>
    <row r="190" spans="1:12">
      <c r="A190">
        <v>189</v>
      </c>
      <c r="B190" t="s">
        <v>443</v>
      </c>
      <c r="C190" t="s">
        <v>435</v>
      </c>
      <c r="D190" t="s">
        <v>23</v>
      </c>
      <c r="E190" s="3">
        <v>44726</v>
      </c>
      <c r="F190" s="3" t="str">
        <f t="shared" si="4"/>
        <v>14-Jun</v>
      </c>
      <c r="G190" s="3" t="str">
        <f t="shared" si="5"/>
        <v>Tuesday</v>
      </c>
      <c r="H190" t="s">
        <v>24</v>
      </c>
      <c r="I190" t="s">
        <v>19</v>
      </c>
      <c r="J190" t="s">
        <v>444</v>
      </c>
      <c r="K190" t="s">
        <v>32</v>
      </c>
      <c r="L190">
        <v>7</v>
      </c>
    </row>
    <row r="191" spans="1:12">
      <c r="A191">
        <v>190</v>
      </c>
      <c r="B191" t="s">
        <v>445</v>
      </c>
      <c r="C191" t="s">
        <v>437</v>
      </c>
      <c r="D191" t="s">
        <v>28</v>
      </c>
      <c r="E191" s="3">
        <v>44749</v>
      </c>
      <c r="F191" s="3" t="str">
        <f t="shared" si="4"/>
        <v>07-Jul</v>
      </c>
      <c r="G191" s="3" t="str">
        <f t="shared" si="5"/>
        <v>Thursday</v>
      </c>
      <c r="H191" t="s">
        <v>24</v>
      </c>
      <c r="I191" t="s">
        <v>19</v>
      </c>
      <c r="J191" t="s">
        <v>446</v>
      </c>
      <c r="K191" t="s">
        <v>21</v>
      </c>
      <c r="L191">
        <v>7</v>
      </c>
    </row>
    <row r="192" spans="1:12">
      <c r="A192">
        <v>191</v>
      </c>
      <c r="B192" t="s">
        <v>447</v>
      </c>
      <c r="C192" t="s">
        <v>439</v>
      </c>
      <c r="D192" t="s">
        <v>34</v>
      </c>
      <c r="E192" s="3">
        <v>44734</v>
      </c>
      <c r="F192" s="3" t="str">
        <f t="shared" si="4"/>
        <v>22-Jun</v>
      </c>
      <c r="G192" s="3" t="str">
        <f t="shared" si="5"/>
        <v>Wednesday</v>
      </c>
      <c r="H192" t="s">
        <v>18</v>
      </c>
      <c r="I192" t="s">
        <v>19</v>
      </c>
      <c r="J192" t="s">
        <v>448</v>
      </c>
      <c r="K192" t="s">
        <v>26</v>
      </c>
      <c r="L192">
        <v>8</v>
      </c>
    </row>
    <row r="193" spans="1:12">
      <c r="A193">
        <v>192</v>
      </c>
      <c r="B193" t="s">
        <v>449</v>
      </c>
      <c r="C193" t="s">
        <v>441</v>
      </c>
      <c r="D193" t="s">
        <v>37</v>
      </c>
      <c r="E193" s="3">
        <v>44726</v>
      </c>
      <c r="F193" s="3" t="str">
        <f t="shared" si="4"/>
        <v>14-Jun</v>
      </c>
      <c r="G193" s="3" t="str">
        <f t="shared" si="5"/>
        <v>Tuesday</v>
      </c>
      <c r="H193" t="s">
        <v>24</v>
      </c>
      <c r="I193" t="s">
        <v>19</v>
      </c>
      <c r="J193" t="s">
        <v>450</v>
      </c>
      <c r="K193" t="s">
        <v>32</v>
      </c>
      <c r="L193">
        <v>7</v>
      </c>
    </row>
    <row r="194" spans="1:12">
      <c r="A194">
        <v>193</v>
      </c>
      <c r="B194" t="s">
        <v>451</v>
      </c>
      <c r="C194" t="s">
        <v>443</v>
      </c>
      <c r="D194" t="s">
        <v>40</v>
      </c>
      <c r="E194" s="3">
        <v>44743</v>
      </c>
      <c r="F194" s="3" t="str">
        <f t="shared" ref="F194:F257" si="6">TEXT(E194,"dd-mmm")</f>
        <v>01-Jul</v>
      </c>
      <c r="G194" s="3" t="str">
        <f t="shared" ref="G194:G257" si="7">TEXT(E194,"dddd")</f>
        <v>Friday</v>
      </c>
      <c r="H194" t="s">
        <v>18</v>
      </c>
      <c r="I194" t="s">
        <v>19</v>
      </c>
      <c r="J194" t="s">
        <v>452</v>
      </c>
      <c r="K194" t="s">
        <v>21</v>
      </c>
      <c r="L194">
        <v>10</v>
      </c>
    </row>
    <row r="195" spans="1:12">
      <c r="A195">
        <v>194</v>
      </c>
      <c r="B195" t="s">
        <v>453</v>
      </c>
      <c r="C195" t="s">
        <v>445</v>
      </c>
      <c r="D195" t="s">
        <v>43</v>
      </c>
      <c r="E195" s="3">
        <v>44742</v>
      </c>
      <c r="F195" s="3" t="str">
        <f t="shared" si="6"/>
        <v>30-Jun</v>
      </c>
      <c r="G195" s="3" t="str">
        <f t="shared" si="7"/>
        <v>Thursday</v>
      </c>
      <c r="H195" t="s">
        <v>24</v>
      </c>
      <c r="I195" t="s">
        <v>19</v>
      </c>
      <c r="J195" t="s">
        <v>454</v>
      </c>
      <c r="K195" t="s">
        <v>26</v>
      </c>
      <c r="L195">
        <v>7</v>
      </c>
    </row>
    <row r="196" spans="1:12">
      <c r="A196">
        <v>195</v>
      </c>
      <c r="B196" t="s">
        <v>455</v>
      </c>
      <c r="C196" t="s">
        <v>447</v>
      </c>
      <c r="D196" t="s">
        <v>43</v>
      </c>
      <c r="E196" s="3">
        <v>44747</v>
      </c>
      <c r="F196" s="3" t="str">
        <f t="shared" si="6"/>
        <v>05-Jul</v>
      </c>
      <c r="G196" s="3" t="str">
        <f t="shared" si="7"/>
        <v>Tuesday</v>
      </c>
      <c r="H196" t="s">
        <v>18</v>
      </c>
      <c r="I196" t="s">
        <v>19</v>
      </c>
      <c r="J196" t="s">
        <v>456</v>
      </c>
      <c r="K196" t="s">
        <v>32</v>
      </c>
      <c r="L196">
        <v>10</v>
      </c>
    </row>
    <row r="197" spans="1:12">
      <c r="A197">
        <v>196</v>
      </c>
      <c r="B197" t="s">
        <v>457</v>
      </c>
      <c r="C197" t="s">
        <v>449</v>
      </c>
      <c r="D197" t="s">
        <v>49</v>
      </c>
      <c r="E197" s="3">
        <v>44764</v>
      </c>
      <c r="F197" s="3" t="str">
        <f t="shared" si="6"/>
        <v>22-Jul</v>
      </c>
      <c r="G197" s="3" t="str">
        <f t="shared" si="7"/>
        <v>Friday</v>
      </c>
      <c r="H197" t="s">
        <v>24</v>
      </c>
      <c r="I197" t="s">
        <v>19</v>
      </c>
      <c r="J197" t="s">
        <v>458</v>
      </c>
      <c r="K197" t="s">
        <v>21</v>
      </c>
      <c r="L197">
        <v>7</v>
      </c>
    </row>
    <row r="198" spans="1:12">
      <c r="A198">
        <v>197</v>
      </c>
      <c r="B198" t="s">
        <v>459</v>
      </c>
      <c r="C198" t="s">
        <v>451</v>
      </c>
      <c r="D198" t="s">
        <v>40</v>
      </c>
      <c r="E198" s="3">
        <v>44735</v>
      </c>
      <c r="F198" s="3" t="str">
        <f t="shared" si="6"/>
        <v>23-Jun</v>
      </c>
      <c r="G198" s="3" t="str">
        <f t="shared" si="7"/>
        <v>Thursday</v>
      </c>
      <c r="H198" t="s">
        <v>29</v>
      </c>
      <c r="I198" t="s">
        <v>19</v>
      </c>
      <c r="J198" t="s">
        <v>460</v>
      </c>
      <c r="K198" t="s">
        <v>26</v>
      </c>
      <c r="L198">
        <v>9</v>
      </c>
    </row>
    <row r="199" spans="1:12">
      <c r="A199">
        <v>198</v>
      </c>
      <c r="B199" t="s">
        <v>461</v>
      </c>
      <c r="C199" t="s">
        <v>453</v>
      </c>
      <c r="D199" t="s">
        <v>54</v>
      </c>
      <c r="E199" s="3">
        <v>44737</v>
      </c>
      <c r="F199" s="3" t="str">
        <f t="shared" si="6"/>
        <v>25-Jun</v>
      </c>
      <c r="G199" s="3" t="str">
        <f t="shared" si="7"/>
        <v>Saturday</v>
      </c>
      <c r="H199" t="s">
        <v>18</v>
      </c>
      <c r="I199" t="s">
        <v>19</v>
      </c>
      <c r="J199" t="s">
        <v>462</v>
      </c>
      <c r="K199" t="s">
        <v>32</v>
      </c>
      <c r="L199">
        <v>7</v>
      </c>
    </row>
    <row r="200" spans="1:12">
      <c r="A200">
        <v>199</v>
      </c>
      <c r="B200" t="s">
        <v>463</v>
      </c>
      <c r="C200" t="s">
        <v>455</v>
      </c>
      <c r="D200" t="s">
        <v>57</v>
      </c>
      <c r="E200" s="3">
        <v>44749</v>
      </c>
      <c r="F200" s="3" t="str">
        <f t="shared" si="6"/>
        <v>07-Jul</v>
      </c>
      <c r="G200" s="3" t="str">
        <f t="shared" si="7"/>
        <v>Thursday</v>
      </c>
      <c r="H200" t="s">
        <v>24</v>
      </c>
      <c r="I200" t="s">
        <v>19</v>
      </c>
      <c r="J200" t="s">
        <v>464</v>
      </c>
      <c r="K200" t="s">
        <v>21</v>
      </c>
      <c r="L200">
        <v>8</v>
      </c>
    </row>
    <row r="201" spans="1:12">
      <c r="A201">
        <v>200</v>
      </c>
      <c r="B201" t="s">
        <v>465</v>
      </c>
      <c r="C201" t="s">
        <v>457</v>
      </c>
      <c r="D201" t="s">
        <v>60</v>
      </c>
      <c r="E201" s="3">
        <v>44729</v>
      </c>
      <c r="F201" s="3" t="str">
        <f t="shared" si="6"/>
        <v>17-Jun</v>
      </c>
      <c r="G201" s="3" t="str">
        <f t="shared" si="7"/>
        <v>Friday</v>
      </c>
      <c r="H201" t="s">
        <v>24</v>
      </c>
      <c r="I201" t="s">
        <v>19</v>
      </c>
      <c r="J201" t="s">
        <v>466</v>
      </c>
      <c r="K201" t="s">
        <v>21</v>
      </c>
      <c r="L201">
        <v>10</v>
      </c>
    </row>
    <row r="202" spans="1:12">
      <c r="A202">
        <v>201</v>
      </c>
      <c r="B202" t="s">
        <v>467</v>
      </c>
      <c r="C202" t="s">
        <v>459</v>
      </c>
      <c r="D202" t="s">
        <v>63</v>
      </c>
      <c r="E202" s="3">
        <v>44738</v>
      </c>
      <c r="F202" s="3" t="str">
        <f t="shared" si="6"/>
        <v>26-Jun</v>
      </c>
      <c r="G202" s="3" t="str">
        <f t="shared" si="7"/>
        <v>Sunday</v>
      </c>
      <c r="H202" t="s">
        <v>18</v>
      </c>
      <c r="I202" t="s">
        <v>30</v>
      </c>
      <c r="J202" t="s">
        <v>468</v>
      </c>
      <c r="K202" t="s">
        <v>21</v>
      </c>
      <c r="L202">
        <v>9</v>
      </c>
    </row>
    <row r="203" spans="1:12">
      <c r="A203">
        <v>202</v>
      </c>
      <c r="B203" t="s">
        <v>469</v>
      </c>
      <c r="C203" t="s">
        <v>461</v>
      </c>
      <c r="D203" t="s">
        <v>40</v>
      </c>
      <c r="E203" s="3">
        <v>44740</v>
      </c>
      <c r="F203" s="3" t="str">
        <f t="shared" si="6"/>
        <v>28-Jun</v>
      </c>
      <c r="G203" s="3" t="str">
        <f t="shared" si="7"/>
        <v>Tuesday</v>
      </c>
      <c r="H203" t="s">
        <v>24</v>
      </c>
      <c r="I203" t="s">
        <v>19</v>
      </c>
      <c r="J203" t="s">
        <v>470</v>
      </c>
      <c r="K203" t="s">
        <v>26</v>
      </c>
      <c r="L203">
        <v>7</v>
      </c>
    </row>
    <row r="204" spans="1:12">
      <c r="A204">
        <v>203</v>
      </c>
      <c r="B204" t="s">
        <v>471</v>
      </c>
      <c r="C204" t="s">
        <v>463</v>
      </c>
      <c r="D204" t="s">
        <v>68</v>
      </c>
      <c r="E204" s="3">
        <v>44755</v>
      </c>
      <c r="F204" s="3" t="str">
        <f t="shared" si="6"/>
        <v>13-Jul</v>
      </c>
      <c r="G204" s="3" t="str">
        <f t="shared" si="7"/>
        <v>Wednesday</v>
      </c>
      <c r="H204" t="s">
        <v>18</v>
      </c>
      <c r="I204" t="s">
        <v>19</v>
      </c>
      <c r="J204" t="s">
        <v>472</v>
      </c>
      <c r="K204" t="s">
        <v>32</v>
      </c>
      <c r="L204">
        <v>8</v>
      </c>
    </row>
    <row r="205" spans="1:12">
      <c r="A205">
        <v>204</v>
      </c>
      <c r="B205" t="s">
        <v>473</v>
      </c>
      <c r="C205" t="s">
        <v>465</v>
      </c>
      <c r="D205" t="s">
        <v>57</v>
      </c>
      <c r="E205" s="3">
        <v>44755</v>
      </c>
      <c r="F205" s="3" t="str">
        <f t="shared" si="6"/>
        <v>13-Jul</v>
      </c>
      <c r="G205" s="3" t="str">
        <f t="shared" si="7"/>
        <v>Wednesday</v>
      </c>
      <c r="H205" t="s">
        <v>24</v>
      </c>
      <c r="I205" t="s">
        <v>19</v>
      </c>
      <c r="J205" t="s">
        <v>474</v>
      </c>
      <c r="K205" t="s">
        <v>21</v>
      </c>
      <c r="L205">
        <v>7</v>
      </c>
    </row>
    <row r="206" spans="1:12">
      <c r="A206">
        <v>205</v>
      </c>
      <c r="B206" t="s">
        <v>475</v>
      </c>
      <c r="C206" t="s">
        <v>467</v>
      </c>
      <c r="D206" t="s">
        <v>37</v>
      </c>
      <c r="E206" s="3">
        <v>44764</v>
      </c>
      <c r="F206" s="3" t="str">
        <f t="shared" si="6"/>
        <v>22-Jul</v>
      </c>
      <c r="G206" s="3" t="str">
        <f t="shared" si="7"/>
        <v>Friday</v>
      </c>
      <c r="H206" t="s">
        <v>24</v>
      </c>
      <c r="I206" t="s">
        <v>19</v>
      </c>
      <c r="J206" t="s">
        <v>476</v>
      </c>
      <c r="K206" t="s">
        <v>26</v>
      </c>
      <c r="L206">
        <v>9</v>
      </c>
    </row>
    <row r="207" spans="1:12">
      <c r="A207">
        <v>206</v>
      </c>
      <c r="B207" t="s">
        <v>477</v>
      </c>
      <c r="C207" t="s">
        <v>469</v>
      </c>
      <c r="D207" t="s">
        <v>75</v>
      </c>
      <c r="E207" s="3">
        <v>44735</v>
      </c>
      <c r="F207" s="3" t="str">
        <f t="shared" si="6"/>
        <v>23-Jun</v>
      </c>
      <c r="G207" s="3" t="str">
        <f t="shared" si="7"/>
        <v>Thursday</v>
      </c>
      <c r="H207" t="s">
        <v>18</v>
      </c>
      <c r="I207" t="s">
        <v>19</v>
      </c>
      <c r="J207" t="s">
        <v>478</v>
      </c>
      <c r="K207" t="s">
        <v>32</v>
      </c>
      <c r="L207">
        <v>10</v>
      </c>
    </row>
    <row r="208" spans="1:12">
      <c r="A208">
        <v>207</v>
      </c>
      <c r="B208" t="s">
        <v>479</v>
      </c>
      <c r="C208" t="s">
        <v>471</v>
      </c>
      <c r="D208" t="s">
        <v>78</v>
      </c>
      <c r="E208" s="3">
        <v>44734</v>
      </c>
      <c r="F208" s="3" t="str">
        <f t="shared" si="6"/>
        <v>22-Jun</v>
      </c>
      <c r="G208" s="3" t="str">
        <f t="shared" si="7"/>
        <v>Wednesday</v>
      </c>
      <c r="H208" t="s">
        <v>24</v>
      </c>
      <c r="I208" t="s">
        <v>30</v>
      </c>
      <c r="J208" t="s">
        <v>480</v>
      </c>
      <c r="K208" t="s">
        <v>21</v>
      </c>
      <c r="L208">
        <v>7</v>
      </c>
    </row>
    <row r="209" spans="1:12">
      <c r="A209">
        <v>208</v>
      </c>
      <c r="B209" t="s">
        <v>481</v>
      </c>
      <c r="C209" t="s">
        <v>473</v>
      </c>
      <c r="D209" t="s">
        <v>81</v>
      </c>
      <c r="E209" s="3">
        <v>44728</v>
      </c>
      <c r="F209" s="3" t="str">
        <f t="shared" si="6"/>
        <v>16-Jun</v>
      </c>
      <c r="G209" s="3" t="str">
        <f t="shared" si="7"/>
        <v>Thursday</v>
      </c>
      <c r="H209" t="s">
        <v>24</v>
      </c>
      <c r="I209" t="s">
        <v>19</v>
      </c>
      <c r="J209" t="s">
        <v>482</v>
      </c>
      <c r="K209" t="s">
        <v>26</v>
      </c>
      <c r="L209">
        <v>7</v>
      </c>
    </row>
    <row r="210" spans="1:12">
      <c r="A210">
        <v>209</v>
      </c>
      <c r="B210" t="s">
        <v>483</v>
      </c>
      <c r="C210" t="s">
        <v>475</v>
      </c>
      <c r="D210" t="s">
        <v>84</v>
      </c>
      <c r="E210" s="3">
        <v>44739</v>
      </c>
      <c r="F210" s="3" t="str">
        <f t="shared" si="6"/>
        <v>27-Jun</v>
      </c>
      <c r="G210" s="3" t="str">
        <f t="shared" si="7"/>
        <v>Monday</v>
      </c>
      <c r="H210" t="s">
        <v>18</v>
      </c>
      <c r="I210" t="s">
        <v>19</v>
      </c>
      <c r="J210" t="s">
        <v>484</v>
      </c>
      <c r="K210" t="s">
        <v>32</v>
      </c>
      <c r="L210">
        <v>7</v>
      </c>
    </row>
    <row r="211" spans="1:12">
      <c r="A211">
        <v>210</v>
      </c>
      <c r="B211" t="s">
        <v>485</v>
      </c>
      <c r="C211" t="s">
        <v>477</v>
      </c>
      <c r="D211" t="s">
        <v>87</v>
      </c>
      <c r="E211" s="3">
        <v>44765</v>
      </c>
      <c r="F211" s="3" t="str">
        <f t="shared" si="6"/>
        <v>23-Jul</v>
      </c>
      <c r="G211" s="3" t="str">
        <f t="shared" si="7"/>
        <v>Saturday</v>
      </c>
      <c r="H211" t="s">
        <v>24</v>
      </c>
      <c r="I211" t="s">
        <v>19</v>
      </c>
      <c r="J211" t="s">
        <v>486</v>
      </c>
      <c r="K211" t="s">
        <v>21</v>
      </c>
      <c r="L211">
        <v>9</v>
      </c>
    </row>
    <row r="212" spans="1:12">
      <c r="A212">
        <v>211</v>
      </c>
      <c r="B212" t="s">
        <v>487</v>
      </c>
      <c r="C212" t="s">
        <v>479</v>
      </c>
      <c r="D212" t="s">
        <v>90</v>
      </c>
      <c r="E212" s="3">
        <v>44740</v>
      </c>
      <c r="F212" s="3" t="str">
        <f t="shared" si="6"/>
        <v>28-Jun</v>
      </c>
      <c r="G212" s="3" t="str">
        <f t="shared" si="7"/>
        <v>Tuesday</v>
      </c>
      <c r="H212" t="s">
        <v>18</v>
      </c>
      <c r="I212" t="s">
        <v>19</v>
      </c>
      <c r="J212" t="s">
        <v>488</v>
      </c>
      <c r="K212" t="s">
        <v>26</v>
      </c>
      <c r="L212">
        <v>10</v>
      </c>
    </row>
    <row r="213" spans="1:12">
      <c r="A213">
        <v>212</v>
      </c>
      <c r="B213" t="s">
        <v>489</v>
      </c>
      <c r="C213" t="s">
        <v>481</v>
      </c>
      <c r="D213" t="s">
        <v>93</v>
      </c>
      <c r="E213" s="3">
        <v>44734</v>
      </c>
      <c r="F213" s="3" t="str">
        <f t="shared" si="6"/>
        <v>22-Jun</v>
      </c>
      <c r="G213" s="3" t="str">
        <f t="shared" si="7"/>
        <v>Wednesday</v>
      </c>
      <c r="H213" t="s">
        <v>24</v>
      </c>
      <c r="I213" t="s">
        <v>19</v>
      </c>
      <c r="J213" t="s">
        <v>490</v>
      </c>
      <c r="K213" t="s">
        <v>32</v>
      </c>
      <c r="L213">
        <v>7</v>
      </c>
    </row>
    <row r="214" spans="1:12">
      <c r="A214">
        <v>213</v>
      </c>
      <c r="B214" t="s">
        <v>491</v>
      </c>
      <c r="C214" t="s">
        <v>483</v>
      </c>
      <c r="D214" t="s">
        <v>96</v>
      </c>
      <c r="E214" s="3">
        <v>44727</v>
      </c>
      <c r="F214" s="3" t="str">
        <f t="shared" si="6"/>
        <v>15-Jun</v>
      </c>
      <c r="G214" s="3" t="str">
        <f t="shared" si="7"/>
        <v>Wednesday</v>
      </c>
      <c r="H214" t="s">
        <v>18</v>
      </c>
      <c r="I214" t="s">
        <v>19</v>
      </c>
      <c r="J214" t="s">
        <v>492</v>
      </c>
      <c r="K214" t="s">
        <v>21</v>
      </c>
      <c r="L214">
        <v>7</v>
      </c>
    </row>
    <row r="215" spans="1:12">
      <c r="A215">
        <v>214</v>
      </c>
      <c r="B215" t="s">
        <v>493</v>
      </c>
      <c r="C215" t="s">
        <v>485</v>
      </c>
      <c r="D215" t="s">
        <v>99</v>
      </c>
      <c r="E215" s="3">
        <v>44737</v>
      </c>
      <c r="F215" s="3" t="str">
        <f t="shared" si="6"/>
        <v>25-Jun</v>
      </c>
      <c r="G215" s="3" t="str">
        <f t="shared" si="7"/>
        <v>Saturday</v>
      </c>
      <c r="H215" t="s">
        <v>24</v>
      </c>
      <c r="I215" t="s">
        <v>19</v>
      </c>
      <c r="J215" t="s">
        <v>494</v>
      </c>
      <c r="K215" t="s">
        <v>26</v>
      </c>
      <c r="L215">
        <v>8</v>
      </c>
    </row>
    <row r="216" spans="1:12">
      <c r="A216">
        <v>215</v>
      </c>
      <c r="B216" t="s">
        <v>495</v>
      </c>
      <c r="C216" t="s">
        <v>487</v>
      </c>
      <c r="D216" t="s">
        <v>103</v>
      </c>
      <c r="E216" s="3">
        <v>44747</v>
      </c>
      <c r="F216" s="3" t="str">
        <f t="shared" si="6"/>
        <v>05-Jul</v>
      </c>
      <c r="G216" s="3" t="str">
        <f t="shared" si="7"/>
        <v>Tuesday</v>
      </c>
      <c r="H216" t="s">
        <v>29</v>
      </c>
      <c r="I216" t="s">
        <v>19</v>
      </c>
      <c r="J216" t="s">
        <v>496</v>
      </c>
      <c r="K216" t="s">
        <v>32</v>
      </c>
      <c r="L216">
        <v>8</v>
      </c>
    </row>
    <row r="217" spans="1:12">
      <c r="A217">
        <v>216</v>
      </c>
      <c r="B217" t="s">
        <v>497</v>
      </c>
      <c r="C217" t="s">
        <v>489</v>
      </c>
      <c r="D217" t="s">
        <v>106</v>
      </c>
      <c r="E217" s="3">
        <v>44754</v>
      </c>
      <c r="F217" s="3" t="str">
        <f t="shared" si="6"/>
        <v>12-Jul</v>
      </c>
      <c r="G217" s="3" t="str">
        <f t="shared" si="7"/>
        <v>Tuesday</v>
      </c>
      <c r="H217" t="s">
        <v>18</v>
      </c>
      <c r="I217" t="s">
        <v>19</v>
      </c>
      <c r="J217" t="s">
        <v>498</v>
      </c>
      <c r="K217" t="s">
        <v>21</v>
      </c>
      <c r="L217">
        <v>10</v>
      </c>
    </row>
    <row r="218" spans="1:12">
      <c r="A218">
        <v>217</v>
      </c>
      <c r="B218" t="s">
        <v>499</v>
      </c>
      <c r="C218" t="s">
        <v>491</v>
      </c>
      <c r="D218" t="s">
        <v>109</v>
      </c>
      <c r="E218" s="3">
        <v>44760</v>
      </c>
      <c r="F218" s="3" t="str">
        <f t="shared" si="6"/>
        <v>18-Jul</v>
      </c>
      <c r="G218" s="3" t="str">
        <f t="shared" si="7"/>
        <v>Monday</v>
      </c>
      <c r="H218" t="s">
        <v>24</v>
      </c>
      <c r="I218" t="s">
        <v>19</v>
      </c>
      <c r="J218" t="s">
        <v>500</v>
      </c>
      <c r="K218" t="s">
        <v>26</v>
      </c>
      <c r="L218">
        <v>9</v>
      </c>
    </row>
    <row r="219" spans="1:12">
      <c r="A219">
        <v>218</v>
      </c>
      <c r="B219" t="s">
        <v>501</v>
      </c>
      <c r="C219" t="s">
        <v>493</v>
      </c>
      <c r="D219" t="s">
        <v>112</v>
      </c>
      <c r="E219" s="3">
        <v>44759</v>
      </c>
      <c r="F219" s="3" t="str">
        <f t="shared" si="6"/>
        <v>17-Jul</v>
      </c>
      <c r="G219" s="3" t="str">
        <f t="shared" si="7"/>
        <v>Sunday</v>
      </c>
      <c r="H219" t="s">
        <v>24</v>
      </c>
      <c r="I219" t="s">
        <v>19</v>
      </c>
      <c r="J219" t="s">
        <v>502</v>
      </c>
      <c r="K219" t="s">
        <v>32</v>
      </c>
      <c r="L219">
        <v>9</v>
      </c>
    </row>
    <row r="220" spans="1:12">
      <c r="A220">
        <v>219</v>
      </c>
      <c r="B220" t="s">
        <v>503</v>
      </c>
      <c r="C220" t="s">
        <v>495</v>
      </c>
      <c r="D220" t="s">
        <v>115</v>
      </c>
      <c r="E220" s="3">
        <v>44735</v>
      </c>
      <c r="F220" s="3" t="str">
        <f t="shared" si="6"/>
        <v>23-Jun</v>
      </c>
      <c r="G220" s="3" t="str">
        <f t="shared" si="7"/>
        <v>Thursday</v>
      </c>
      <c r="H220" t="s">
        <v>18</v>
      </c>
      <c r="I220" t="s">
        <v>19</v>
      </c>
      <c r="J220" t="s">
        <v>504</v>
      </c>
      <c r="K220" t="s">
        <v>21</v>
      </c>
      <c r="L220">
        <v>7</v>
      </c>
    </row>
    <row r="221" spans="1:12">
      <c r="A221">
        <v>220</v>
      </c>
      <c r="B221" t="s">
        <v>505</v>
      </c>
      <c r="C221" t="s">
        <v>497</v>
      </c>
      <c r="D221" t="s">
        <v>63</v>
      </c>
      <c r="E221" s="3">
        <v>44734</v>
      </c>
      <c r="F221" s="3" t="str">
        <f t="shared" si="6"/>
        <v>22-Jun</v>
      </c>
      <c r="G221" s="3" t="str">
        <f t="shared" si="7"/>
        <v>Wednesday</v>
      </c>
      <c r="H221" t="s">
        <v>24</v>
      </c>
      <c r="I221" t="s">
        <v>19</v>
      </c>
      <c r="J221" t="s">
        <v>506</v>
      </c>
      <c r="K221" t="s">
        <v>26</v>
      </c>
      <c r="L221">
        <v>10</v>
      </c>
    </row>
    <row r="222" spans="1:12">
      <c r="A222">
        <v>221</v>
      </c>
      <c r="B222" t="s">
        <v>507</v>
      </c>
      <c r="C222" t="s">
        <v>499</v>
      </c>
      <c r="D222" t="s">
        <v>87</v>
      </c>
      <c r="E222" s="3">
        <v>44753</v>
      </c>
      <c r="F222" s="3" t="str">
        <f t="shared" si="6"/>
        <v>11-Jul</v>
      </c>
      <c r="G222" s="3" t="str">
        <f t="shared" si="7"/>
        <v>Monday</v>
      </c>
      <c r="H222" t="s">
        <v>18</v>
      </c>
      <c r="I222" t="s">
        <v>19</v>
      </c>
      <c r="J222" t="s">
        <v>508</v>
      </c>
      <c r="K222" t="s">
        <v>32</v>
      </c>
      <c r="L222">
        <v>7</v>
      </c>
    </row>
    <row r="223" spans="1:12">
      <c r="A223">
        <v>222</v>
      </c>
      <c r="B223" t="s">
        <v>509</v>
      </c>
      <c r="C223" t="s">
        <v>501</v>
      </c>
      <c r="D223" t="s">
        <v>103</v>
      </c>
      <c r="E223" s="3">
        <v>44739</v>
      </c>
      <c r="F223" s="3" t="str">
        <f t="shared" si="6"/>
        <v>27-Jun</v>
      </c>
      <c r="G223" s="3" t="str">
        <f t="shared" si="7"/>
        <v>Monday</v>
      </c>
      <c r="H223" t="s">
        <v>24</v>
      </c>
      <c r="I223" t="s">
        <v>19</v>
      </c>
      <c r="J223" t="s">
        <v>510</v>
      </c>
      <c r="K223" t="s">
        <v>21</v>
      </c>
      <c r="L223">
        <v>7</v>
      </c>
    </row>
    <row r="224" spans="1:12">
      <c r="A224">
        <v>223</v>
      </c>
      <c r="B224" t="s">
        <v>511</v>
      </c>
      <c r="C224" t="s">
        <v>503</v>
      </c>
      <c r="D224" t="s">
        <v>37</v>
      </c>
      <c r="E224" s="3">
        <v>44740</v>
      </c>
      <c r="F224" s="3" t="str">
        <f t="shared" si="6"/>
        <v>28-Jun</v>
      </c>
      <c r="G224" s="3" t="str">
        <f t="shared" si="7"/>
        <v>Tuesday</v>
      </c>
      <c r="H224" t="s">
        <v>24</v>
      </c>
      <c r="I224" t="s">
        <v>19</v>
      </c>
      <c r="J224" t="s">
        <v>512</v>
      </c>
      <c r="K224" t="s">
        <v>26</v>
      </c>
      <c r="L224">
        <v>10</v>
      </c>
    </row>
    <row r="225" spans="1:12">
      <c r="A225">
        <v>224</v>
      </c>
      <c r="B225" t="s">
        <v>513</v>
      </c>
      <c r="C225" t="s">
        <v>505</v>
      </c>
      <c r="D225" t="s">
        <v>68</v>
      </c>
      <c r="E225" s="3">
        <v>44748</v>
      </c>
      <c r="F225" s="3" t="str">
        <f t="shared" si="6"/>
        <v>06-Jul</v>
      </c>
      <c r="G225" s="3" t="str">
        <f t="shared" si="7"/>
        <v>Wednesday</v>
      </c>
      <c r="H225" t="s">
        <v>18</v>
      </c>
      <c r="I225" t="s">
        <v>19</v>
      </c>
      <c r="J225" t="s">
        <v>514</v>
      </c>
      <c r="K225" t="s">
        <v>32</v>
      </c>
      <c r="L225">
        <v>7</v>
      </c>
    </row>
    <row r="226" spans="1:12">
      <c r="A226">
        <v>225</v>
      </c>
      <c r="B226" t="s">
        <v>515</v>
      </c>
      <c r="C226" t="s">
        <v>507</v>
      </c>
      <c r="D226" t="s">
        <v>109</v>
      </c>
      <c r="E226" s="3">
        <v>44731</v>
      </c>
      <c r="F226" s="3" t="str">
        <f t="shared" si="6"/>
        <v>19-Jun</v>
      </c>
      <c r="G226" s="3" t="str">
        <f t="shared" si="7"/>
        <v>Sunday</v>
      </c>
      <c r="H226" t="s">
        <v>24</v>
      </c>
      <c r="I226" t="s">
        <v>19</v>
      </c>
      <c r="J226" t="s">
        <v>516</v>
      </c>
      <c r="K226" t="s">
        <v>21</v>
      </c>
      <c r="L226">
        <v>10</v>
      </c>
    </row>
    <row r="227" spans="1:12">
      <c r="A227">
        <v>226</v>
      </c>
      <c r="B227" t="s">
        <v>517</v>
      </c>
      <c r="C227" t="s">
        <v>509</v>
      </c>
      <c r="D227" t="s">
        <v>112</v>
      </c>
      <c r="E227" s="3">
        <v>44763</v>
      </c>
      <c r="F227" s="3" t="str">
        <f t="shared" si="6"/>
        <v>21-Jul</v>
      </c>
      <c r="G227" s="3" t="str">
        <f t="shared" si="7"/>
        <v>Thursday</v>
      </c>
      <c r="H227" t="s">
        <v>24</v>
      </c>
      <c r="I227" t="s">
        <v>19</v>
      </c>
      <c r="J227" t="s">
        <v>518</v>
      </c>
      <c r="K227" t="s">
        <v>26</v>
      </c>
      <c r="L227">
        <v>9</v>
      </c>
    </row>
    <row r="228" spans="1:12">
      <c r="A228">
        <v>227</v>
      </c>
      <c r="B228" t="s">
        <v>519</v>
      </c>
      <c r="C228" t="s">
        <v>511</v>
      </c>
      <c r="D228" t="s">
        <v>134</v>
      </c>
      <c r="E228" s="3">
        <v>44733</v>
      </c>
      <c r="F228" s="3" t="str">
        <f t="shared" si="6"/>
        <v>21-Jun</v>
      </c>
      <c r="G228" s="3" t="str">
        <f t="shared" si="7"/>
        <v>Tuesday</v>
      </c>
      <c r="H228" t="s">
        <v>18</v>
      </c>
      <c r="I228" t="s">
        <v>19</v>
      </c>
      <c r="J228" t="s">
        <v>520</v>
      </c>
      <c r="K228" t="s">
        <v>32</v>
      </c>
      <c r="L228">
        <v>10</v>
      </c>
    </row>
    <row r="229" spans="1:12">
      <c r="A229">
        <v>228</v>
      </c>
      <c r="B229" t="s">
        <v>521</v>
      </c>
      <c r="C229" t="s">
        <v>513</v>
      </c>
      <c r="D229" t="s">
        <v>277</v>
      </c>
      <c r="E229" s="3">
        <v>44746</v>
      </c>
      <c r="F229" s="3" t="str">
        <f t="shared" si="6"/>
        <v>04-Jul</v>
      </c>
      <c r="G229" s="3" t="str">
        <f t="shared" si="7"/>
        <v>Monday</v>
      </c>
      <c r="H229" t="s">
        <v>24</v>
      </c>
      <c r="I229" t="s">
        <v>19</v>
      </c>
      <c r="J229" t="s">
        <v>522</v>
      </c>
      <c r="K229" t="s">
        <v>21</v>
      </c>
      <c r="L229">
        <v>7</v>
      </c>
    </row>
    <row r="230" spans="1:12">
      <c r="A230">
        <v>229</v>
      </c>
      <c r="B230" t="s">
        <v>523</v>
      </c>
      <c r="C230" t="s">
        <v>515</v>
      </c>
      <c r="D230" t="s">
        <v>139</v>
      </c>
      <c r="E230" s="3">
        <v>44755</v>
      </c>
      <c r="F230" s="3" t="str">
        <f t="shared" si="6"/>
        <v>13-Jul</v>
      </c>
      <c r="G230" s="3" t="str">
        <f t="shared" si="7"/>
        <v>Wednesday</v>
      </c>
      <c r="H230" t="s">
        <v>18</v>
      </c>
      <c r="I230" t="s">
        <v>30</v>
      </c>
      <c r="J230" t="s">
        <v>524</v>
      </c>
      <c r="K230" t="s">
        <v>26</v>
      </c>
      <c r="L230">
        <v>10</v>
      </c>
    </row>
    <row r="231" spans="1:12">
      <c r="A231">
        <v>230</v>
      </c>
      <c r="B231" t="s">
        <v>525</v>
      </c>
      <c r="C231" t="s">
        <v>517</v>
      </c>
      <c r="D231" t="s">
        <v>142</v>
      </c>
      <c r="E231" s="3">
        <v>44755</v>
      </c>
      <c r="F231" s="3" t="str">
        <f t="shared" si="6"/>
        <v>13-Jul</v>
      </c>
      <c r="G231" s="3" t="str">
        <f t="shared" si="7"/>
        <v>Wednesday</v>
      </c>
      <c r="H231" t="s">
        <v>24</v>
      </c>
      <c r="I231" t="s">
        <v>19</v>
      </c>
      <c r="J231" t="s">
        <v>526</v>
      </c>
      <c r="K231" t="s">
        <v>32</v>
      </c>
      <c r="L231">
        <v>10</v>
      </c>
    </row>
    <row r="232" spans="1:12">
      <c r="A232">
        <v>231</v>
      </c>
      <c r="B232" t="s">
        <v>527</v>
      </c>
      <c r="C232" t="s">
        <v>519</v>
      </c>
      <c r="D232" t="s">
        <v>145</v>
      </c>
      <c r="E232" s="3">
        <v>44727</v>
      </c>
      <c r="F232" s="3" t="str">
        <f t="shared" si="6"/>
        <v>15-Jun</v>
      </c>
      <c r="G232" s="3" t="str">
        <f t="shared" si="7"/>
        <v>Wednesday</v>
      </c>
      <c r="H232" t="s">
        <v>18</v>
      </c>
      <c r="I232" t="s">
        <v>19</v>
      </c>
      <c r="J232" t="s">
        <v>528</v>
      </c>
      <c r="K232" t="s">
        <v>21</v>
      </c>
      <c r="L232">
        <v>8</v>
      </c>
    </row>
    <row r="233" spans="1:12">
      <c r="A233">
        <v>232</v>
      </c>
      <c r="B233" t="s">
        <v>529</v>
      </c>
      <c r="C233" t="s">
        <v>521</v>
      </c>
      <c r="D233" t="s">
        <v>148</v>
      </c>
      <c r="E233" s="3">
        <v>44746</v>
      </c>
      <c r="F233" s="3" t="str">
        <f t="shared" si="6"/>
        <v>04-Jul</v>
      </c>
      <c r="G233" s="3" t="str">
        <f t="shared" si="7"/>
        <v>Monday</v>
      </c>
      <c r="H233" t="s">
        <v>24</v>
      </c>
      <c r="I233" t="s">
        <v>19</v>
      </c>
      <c r="J233" t="s">
        <v>530</v>
      </c>
      <c r="K233" t="s">
        <v>26</v>
      </c>
      <c r="L233">
        <v>10</v>
      </c>
    </row>
    <row r="234" spans="1:12">
      <c r="A234">
        <v>233</v>
      </c>
      <c r="B234" t="s">
        <v>531</v>
      </c>
      <c r="C234" t="s">
        <v>523</v>
      </c>
      <c r="D234" t="s">
        <v>151</v>
      </c>
      <c r="E234" s="3">
        <v>44740</v>
      </c>
      <c r="F234" s="3" t="str">
        <f t="shared" si="6"/>
        <v>28-Jun</v>
      </c>
      <c r="G234" s="3" t="str">
        <f t="shared" si="7"/>
        <v>Tuesday</v>
      </c>
      <c r="H234" t="s">
        <v>24</v>
      </c>
      <c r="I234" t="s">
        <v>19</v>
      </c>
      <c r="J234" t="s">
        <v>532</v>
      </c>
      <c r="K234" t="s">
        <v>32</v>
      </c>
      <c r="L234">
        <v>9</v>
      </c>
    </row>
    <row r="235" spans="1:12">
      <c r="A235">
        <v>234</v>
      </c>
      <c r="B235" t="s">
        <v>533</v>
      </c>
      <c r="C235" t="s">
        <v>525</v>
      </c>
      <c r="D235" t="s">
        <v>154</v>
      </c>
      <c r="E235" s="3">
        <v>44743</v>
      </c>
      <c r="F235" s="3" t="str">
        <f t="shared" si="6"/>
        <v>01-Jul</v>
      </c>
      <c r="G235" s="3" t="str">
        <f t="shared" si="7"/>
        <v>Friday</v>
      </c>
      <c r="H235" t="s">
        <v>18</v>
      </c>
      <c r="I235" t="s">
        <v>19</v>
      </c>
      <c r="J235" t="s">
        <v>534</v>
      </c>
      <c r="K235" t="s">
        <v>21</v>
      </c>
      <c r="L235">
        <v>9</v>
      </c>
    </row>
    <row r="236" spans="1:12">
      <c r="A236">
        <v>235</v>
      </c>
      <c r="B236" t="s">
        <v>535</v>
      </c>
      <c r="C236" t="s">
        <v>527</v>
      </c>
      <c r="D236" t="s">
        <v>84</v>
      </c>
      <c r="E236" s="3">
        <v>44737</v>
      </c>
      <c r="F236" s="3" t="str">
        <f t="shared" si="6"/>
        <v>25-Jun</v>
      </c>
      <c r="G236" s="3" t="str">
        <f t="shared" si="7"/>
        <v>Saturday</v>
      </c>
      <c r="H236" t="s">
        <v>24</v>
      </c>
      <c r="I236" t="s">
        <v>30</v>
      </c>
      <c r="J236" t="s">
        <v>536</v>
      </c>
      <c r="K236" t="s">
        <v>26</v>
      </c>
      <c r="L236">
        <v>9</v>
      </c>
    </row>
    <row r="237" spans="1:12">
      <c r="A237">
        <v>236</v>
      </c>
      <c r="B237" t="s">
        <v>537</v>
      </c>
      <c r="C237" t="s">
        <v>529</v>
      </c>
      <c r="D237" t="s">
        <v>87</v>
      </c>
      <c r="E237" s="3">
        <v>44757</v>
      </c>
      <c r="F237" s="3" t="str">
        <f t="shared" si="6"/>
        <v>15-Jul</v>
      </c>
      <c r="G237" s="3" t="str">
        <f t="shared" si="7"/>
        <v>Friday</v>
      </c>
      <c r="H237" t="s">
        <v>18</v>
      </c>
      <c r="I237" t="s">
        <v>19</v>
      </c>
      <c r="J237" t="s">
        <v>538</v>
      </c>
      <c r="K237" t="s">
        <v>32</v>
      </c>
      <c r="L237">
        <v>10</v>
      </c>
    </row>
    <row r="238" spans="1:12">
      <c r="A238">
        <v>237</v>
      </c>
      <c r="B238" t="s">
        <v>539</v>
      </c>
      <c r="C238" t="s">
        <v>531</v>
      </c>
      <c r="D238" t="s">
        <v>90</v>
      </c>
      <c r="E238" s="3">
        <v>44745</v>
      </c>
      <c r="F238" s="3" t="str">
        <f t="shared" si="6"/>
        <v>03-Jul</v>
      </c>
      <c r="G238" s="3" t="str">
        <f t="shared" si="7"/>
        <v>Sunday</v>
      </c>
      <c r="H238" t="s">
        <v>24</v>
      </c>
      <c r="I238" t="s">
        <v>19</v>
      </c>
      <c r="J238" t="s">
        <v>540</v>
      </c>
      <c r="K238" t="s">
        <v>21</v>
      </c>
      <c r="L238">
        <v>9</v>
      </c>
    </row>
    <row r="239" spans="1:12">
      <c r="A239">
        <v>238</v>
      </c>
      <c r="B239" t="s">
        <v>541</v>
      </c>
      <c r="C239" t="s">
        <v>533</v>
      </c>
      <c r="D239" t="s">
        <v>93</v>
      </c>
      <c r="E239" s="3">
        <v>44760</v>
      </c>
      <c r="F239" s="3" t="str">
        <f t="shared" si="6"/>
        <v>18-Jul</v>
      </c>
      <c r="G239" s="3" t="str">
        <f t="shared" si="7"/>
        <v>Monday</v>
      </c>
      <c r="H239" t="s">
        <v>18</v>
      </c>
      <c r="I239" t="s">
        <v>19</v>
      </c>
      <c r="J239" t="s">
        <v>542</v>
      </c>
      <c r="K239" t="s">
        <v>26</v>
      </c>
      <c r="L239">
        <v>10</v>
      </c>
    </row>
    <row r="240" spans="1:12">
      <c r="A240">
        <v>239</v>
      </c>
      <c r="B240" t="s">
        <v>543</v>
      </c>
      <c r="C240" t="s">
        <v>535</v>
      </c>
      <c r="D240" t="s">
        <v>96</v>
      </c>
      <c r="E240" s="3">
        <v>44750</v>
      </c>
      <c r="F240" s="3" t="str">
        <f t="shared" si="6"/>
        <v>08-Jul</v>
      </c>
      <c r="G240" s="3" t="str">
        <f t="shared" si="7"/>
        <v>Friday</v>
      </c>
      <c r="H240" t="s">
        <v>24</v>
      </c>
      <c r="I240" t="s">
        <v>19</v>
      </c>
      <c r="J240" t="s">
        <v>544</v>
      </c>
      <c r="K240" t="s">
        <v>32</v>
      </c>
      <c r="L240">
        <v>9</v>
      </c>
    </row>
    <row r="241" spans="1:12">
      <c r="A241">
        <v>240</v>
      </c>
      <c r="B241" t="s">
        <v>545</v>
      </c>
      <c r="C241" t="s">
        <v>537</v>
      </c>
      <c r="D241" t="s">
        <v>99</v>
      </c>
      <c r="E241" s="3">
        <v>44742</v>
      </c>
      <c r="F241" s="3" t="str">
        <f t="shared" si="6"/>
        <v>30-Jun</v>
      </c>
      <c r="G241" s="3" t="str">
        <f t="shared" si="7"/>
        <v>Thursday</v>
      </c>
      <c r="H241" t="s">
        <v>29</v>
      </c>
      <c r="I241" t="s">
        <v>19</v>
      </c>
      <c r="J241" t="s">
        <v>546</v>
      </c>
      <c r="K241" t="s">
        <v>21</v>
      </c>
      <c r="L241">
        <v>8</v>
      </c>
    </row>
    <row r="242" spans="1:12">
      <c r="A242">
        <v>241</v>
      </c>
      <c r="B242" t="s">
        <v>547</v>
      </c>
      <c r="C242" t="s">
        <v>539</v>
      </c>
      <c r="D242" t="s">
        <v>103</v>
      </c>
      <c r="E242" s="3">
        <v>44754</v>
      </c>
      <c r="F242" s="3" t="str">
        <f t="shared" si="6"/>
        <v>12-Jul</v>
      </c>
      <c r="G242" s="3" t="str">
        <f t="shared" si="7"/>
        <v>Tuesday</v>
      </c>
      <c r="H242" t="s">
        <v>18</v>
      </c>
      <c r="I242" t="s">
        <v>19</v>
      </c>
      <c r="J242" t="s">
        <v>548</v>
      </c>
      <c r="K242" t="s">
        <v>26</v>
      </c>
      <c r="L242">
        <v>7</v>
      </c>
    </row>
    <row r="243" spans="1:12">
      <c r="A243">
        <v>242</v>
      </c>
      <c r="B243" t="s">
        <v>549</v>
      </c>
      <c r="C243" t="s">
        <v>541</v>
      </c>
      <c r="D243" t="s">
        <v>106</v>
      </c>
      <c r="E243" s="3">
        <v>44746</v>
      </c>
      <c r="F243" s="3" t="str">
        <f t="shared" si="6"/>
        <v>04-Jul</v>
      </c>
      <c r="G243" s="3" t="str">
        <f t="shared" si="7"/>
        <v>Monday</v>
      </c>
      <c r="H243" t="s">
        <v>24</v>
      </c>
      <c r="I243" t="s">
        <v>19</v>
      </c>
      <c r="J243" t="s">
        <v>550</v>
      </c>
      <c r="K243" t="s">
        <v>32</v>
      </c>
      <c r="L243">
        <v>10</v>
      </c>
    </row>
    <row r="244" spans="1:12">
      <c r="A244">
        <v>243</v>
      </c>
      <c r="B244" t="s">
        <v>551</v>
      </c>
      <c r="C244" t="s">
        <v>543</v>
      </c>
      <c r="D244" t="s">
        <v>109</v>
      </c>
      <c r="E244" s="3">
        <v>44752</v>
      </c>
      <c r="F244" s="3" t="str">
        <f t="shared" si="6"/>
        <v>10-Jul</v>
      </c>
      <c r="G244" s="3" t="str">
        <f t="shared" si="7"/>
        <v>Sunday</v>
      </c>
      <c r="H244" t="s">
        <v>24</v>
      </c>
      <c r="I244" t="s">
        <v>19</v>
      </c>
      <c r="J244" t="s">
        <v>552</v>
      </c>
      <c r="K244" t="s">
        <v>21</v>
      </c>
      <c r="L244">
        <v>7</v>
      </c>
    </row>
    <row r="245" spans="1:12">
      <c r="A245">
        <v>244</v>
      </c>
      <c r="B245" t="s">
        <v>553</v>
      </c>
      <c r="C245" t="s">
        <v>545</v>
      </c>
      <c r="D245" t="s">
        <v>112</v>
      </c>
      <c r="E245" s="3">
        <v>44725</v>
      </c>
      <c r="F245" s="3" t="str">
        <f t="shared" si="6"/>
        <v>13-Jun</v>
      </c>
      <c r="G245" s="3" t="str">
        <f t="shared" si="7"/>
        <v>Monday</v>
      </c>
      <c r="H245" t="s">
        <v>18</v>
      </c>
      <c r="I245" t="s">
        <v>19</v>
      </c>
      <c r="J245" t="s">
        <v>554</v>
      </c>
      <c r="K245" t="s">
        <v>26</v>
      </c>
      <c r="L245">
        <v>8</v>
      </c>
    </row>
    <row r="246" spans="1:12">
      <c r="A246">
        <v>245</v>
      </c>
      <c r="B246" t="s">
        <v>555</v>
      </c>
      <c r="C246" t="s">
        <v>547</v>
      </c>
      <c r="D246" t="s">
        <v>17</v>
      </c>
      <c r="E246" s="3">
        <v>44734</v>
      </c>
      <c r="F246" s="3" t="str">
        <f t="shared" si="6"/>
        <v>22-Jun</v>
      </c>
      <c r="G246" s="3" t="str">
        <f t="shared" si="7"/>
        <v>Wednesday</v>
      </c>
      <c r="H246" t="s">
        <v>24</v>
      </c>
      <c r="I246" t="s">
        <v>19</v>
      </c>
      <c r="J246" t="s">
        <v>556</v>
      </c>
      <c r="K246" t="s">
        <v>32</v>
      </c>
      <c r="L246">
        <v>9</v>
      </c>
    </row>
    <row r="247" spans="1:12">
      <c r="A247">
        <v>246</v>
      </c>
      <c r="B247" t="s">
        <v>557</v>
      </c>
      <c r="C247" t="s">
        <v>549</v>
      </c>
      <c r="D247" t="s">
        <v>23</v>
      </c>
      <c r="E247" s="3">
        <v>44761</v>
      </c>
      <c r="F247" s="3" t="str">
        <f t="shared" si="6"/>
        <v>19-Jul</v>
      </c>
      <c r="G247" s="3" t="str">
        <f t="shared" si="7"/>
        <v>Tuesday</v>
      </c>
      <c r="H247" t="s">
        <v>18</v>
      </c>
      <c r="I247" t="s">
        <v>19</v>
      </c>
      <c r="J247" t="s">
        <v>558</v>
      </c>
      <c r="K247" t="s">
        <v>21</v>
      </c>
      <c r="L247">
        <v>9</v>
      </c>
    </row>
    <row r="248" spans="1:12">
      <c r="A248">
        <v>247</v>
      </c>
      <c r="B248" t="s">
        <v>559</v>
      </c>
      <c r="C248" t="s">
        <v>551</v>
      </c>
      <c r="D248" t="s">
        <v>28</v>
      </c>
      <c r="E248" s="3">
        <v>44735</v>
      </c>
      <c r="F248" s="3" t="str">
        <f t="shared" si="6"/>
        <v>23-Jun</v>
      </c>
      <c r="G248" s="3" t="str">
        <f t="shared" si="7"/>
        <v>Thursday</v>
      </c>
      <c r="H248" t="s">
        <v>24</v>
      </c>
      <c r="I248" t="s">
        <v>19</v>
      </c>
      <c r="J248" t="s">
        <v>560</v>
      </c>
      <c r="K248" t="s">
        <v>26</v>
      </c>
      <c r="L248">
        <v>9</v>
      </c>
    </row>
    <row r="249" spans="1:12">
      <c r="A249">
        <v>248</v>
      </c>
      <c r="B249" t="s">
        <v>561</v>
      </c>
      <c r="C249" t="s">
        <v>553</v>
      </c>
      <c r="D249" t="s">
        <v>34</v>
      </c>
      <c r="E249" s="3">
        <v>44753</v>
      </c>
      <c r="F249" s="3" t="str">
        <f t="shared" si="6"/>
        <v>11-Jul</v>
      </c>
      <c r="G249" s="3" t="str">
        <f t="shared" si="7"/>
        <v>Monday</v>
      </c>
      <c r="H249" t="s">
        <v>24</v>
      </c>
      <c r="I249" t="s">
        <v>19</v>
      </c>
      <c r="J249" t="s">
        <v>562</v>
      </c>
      <c r="K249" t="s">
        <v>32</v>
      </c>
      <c r="L249">
        <v>9</v>
      </c>
    </row>
    <row r="250" spans="1:12">
      <c r="A250">
        <v>249</v>
      </c>
      <c r="B250" t="s">
        <v>563</v>
      </c>
      <c r="C250" t="s">
        <v>555</v>
      </c>
      <c r="D250" t="s">
        <v>37</v>
      </c>
      <c r="E250" s="3">
        <v>44732</v>
      </c>
      <c r="F250" s="3" t="str">
        <f t="shared" si="6"/>
        <v>20-Jun</v>
      </c>
      <c r="G250" s="3" t="str">
        <f t="shared" si="7"/>
        <v>Monday</v>
      </c>
      <c r="H250" t="s">
        <v>18</v>
      </c>
      <c r="I250" t="s">
        <v>19</v>
      </c>
      <c r="J250" t="s">
        <v>564</v>
      </c>
      <c r="K250" t="s">
        <v>21</v>
      </c>
      <c r="L250">
        <v>9</v>
      </c>
    </row>
    <row r="251" spans="1:12">
      <c r="A251">
        <v>250</v>
      </c>
      <c r="B251" t="s">
        <v>565</v>
      </c>
      <c r="C251" t="s">
        <v>557</v>
      </c>
      <c r="D251" t="s">
        <v>40</v>
      </c>
      <c r="E251" s="3">
        <v>44748</v>
      </c>
      <c r="F251" s="3" t="str">
        <f t="shared" si="6"/>
        <v>06-Jul</v>
      </c>
      <c r="G251" s="3" t="str">
        <f t="shared" si="7"/>
        <v>Wednesday</v>
      </c>
      <c r="H251" t="s">
        <v>24</v>
      </c>
      <c r="I251" t="s">
        <v>19</v>
      </c>
      <c r="J251" t="s">
        <v>566</v>
      </c>
      <c r="K251" t="s">
        <v>21</v>
      </c>
      <c r="L251">
        <v>7</v>
      </c>
    </row>
    <row r="252" spans="1:12">
      <c r="A252">
        <v>251</v>
      </c>
      <c r="B252" t="s">
        <v>567</v>
      </c>
      <c r="C252" t="s">
        <v>559</v>
      </c>
      <c r="D252" t="s">
        <v>17</v>
      </c>
      <c r="E252" s="3">
        <v>44731</v>
      </c>
      <c r="F252" s="3" t="str">
        <f t="shared" si="6"/>
        <v>19-Jun</v>
      </c>
      <c r="G252" s="3" t="str">
        <f t="shared" si="7"/>
        <v>Sunday</v>
      </c>
      <c r="H252" t="s">
        <v>18</v>
      </c>
      <c r="I252" t="s">
        <v>19</v>
      </c>
      <c r="J252" t="s">
        <v>568</v>
      </c>
      <c r="K252" t="s">
        <v>21</v>
      </c>
      <c r="L252">
        <v>9</v>
      </c>
    </row>
    <row r="253" spans="1:12">
      <c r="A253">
        <v>252</v>
      </c>
      <c r="B253" t="s">
        <v>569</v>
      </c>
      <c r="C253" t="s">
        <v>561</v>
      </c>
      <c r="D253" t="s">
        <v>23</v>
      </c>
      <c r="E253" s="3">
        <v>44725</v>
      </c>
      <c r="F253" s="3" t="str">
        <f t="shared" si="6"/>
        <v>13-Jun</v>
      </c>
      <c r="G253" s="3" t="str">
        <f t="shared" si="7"/>
        <v>Monday</v>
      </c>
      <c r="H253" t="s">
        <v>24</v>
      </c>
      <c r="I253" t="s">
        <v>19</v>
      </c>
      <c r="J253" t="s">
        <v>570</v>
      </c>
      <c r="K253" t="s">
        <v>26</v>
      </c>
      <c r="L253">
        <v>7</v>
      </c>
    </row>
    <row r="254" spans="1:12">
      <c r="A254">
        <v>253</v>
      </c>
      <c r="B254" t="s">
        <v>571</v>
      </c>
      <c r="C254" t="s">
        <v>563</v>
      </c>
      <c r="D254" t="s">
        <v>28</v>
      </c>
      <c r="E254" s="3">
        <v>44753</v>
      </c>
      <c r="F254" s="3" t="str">
        <f t="shared" si="6"/>
        <v>11-Jul</v>
      </c>
      <c r="G254" s="3" t="str">
        <f t="shared" si="7"/>
        <v>Monday</v>
      </c>
      <c r="H254" t="s">
        <v>29</v>
      </c>
      <c r="I254" t="s">
        <v>30</v>
      </c>
      <c r="J254" t="s">
        <v>572</v>
      </c>
      <c r="K254" t="s">
        <v>32</v>
      </c>
      <c r="L254">
        <v>8</v>
      </c>
    </row>
    <row r="255" spans="1:12">
      <c r="A255">
        <v>254</v>
      </c>
      <c r="B255" t="s">
        <v>573</v>
      </c>
      <c r="C255" t="s">
        <v>565</v>
      </c>
      <c r="D255" t="s">
        <v>34</v>
      </c>
      <c r="E255" s="3">
        <v>44738</v>
      </c>
      <c r="F255" s="3" t="str">
        <f t="shared" si="6"/>
        <v>26-Jun</v>
      </c>
      <c r="G255" s="3" t="str">
        <f t="shared" si="7"/>
        <v>Sunday</v>
      </c>
      <c r="H255" t="s">
        <v>18</v>
      </c>
      <c r="I255" t="s">
        <v>19</v>
      </c>
      <c r="J255" t="s">
        <v>574</v>
      </c>
      <c r="K255" t="s">
        <v>21</v>
      </c>
      <c r="L255">
        <v>6</v>
      </c>
    </row>
    <row r="256" spans="1:12">
      <c r="A256">
        <v>255</v>
      </c>
      <c r="B256" t="s">
        <v>575</v>
      </c>
      <c r="C256" t="s">
        <v>567</v>
      </c>
      <c r="D256" t="s">
        <v>37</v>
      </c>
      <c r="E256" s="3">
        <v>44762</v>
      </c>
      <c r="F256" s="3" t="str">
        <f t="shared" si="6"/>
        <v>20-Jul</v>
      </c>
      <c r="G256" s="3" t="str">
        <f t="shared" si="7"/>
        <v>Wednesday</v>
      </c>
      <c r="H256" t="s">
        <v>24</v>
      </c>
      <c r="I256" t="s">
        <v>19</v>
      </c>
      <c r="J256" t="s">
        <v>576</v>
      </c>
      <c r="K256" t="s">
        <v>26</v>
      </c>
      <c r="L256">
        <v>2</v>
      </c>
    </row>
    <row r="257" spans="1:12">
      <c r="A257">
        <v>256</v>
      </c>
      <c r="B257" t="s">
        <v>577</v>
      </c>
      <c r="C257" t="s">
        <v>569</v>
      </c>
      <c r="D257" t="s">
        <v>40</v>
      </c>
      <c r="E257" s="3">
        <v>44756</v>
      </c>
      <c r="F257" s="3" t="str">
        <f t="shared" si="6"/>
        <v>14-Jul</v>
      </c>
      <c r="G257" s="3" t="str">
        <f t="shared" si="7"/>
        <v>Thursday</v>
      </c>
      <c r="H257" t="s">
        <v>24</v>
      </c>
      <c r="I257" t="s">
        <v>19</v>
      </c>
      <c r="J257" t="s">
        <v>578</v>
      </c>
      <c r="K257" t="s">
        <v>32</v>
      </c>
      <c r="L257">
        <v>4</v>
      </c>
    </row>
    <row r="258" spans="1:12">
      <c r="A258">
        <v>257</v>
      </c>
      <c r="B258" t="s">
        <v>579</v>
      </c>
      <c r="C258" t="s">
        <v>571</v>
      </c>
      <c r="D258" t="s">
        <v>43</v>
      </c>
      <c r="E258" s="3">
        <v>44744</v>
      </c>
      <c r="F258" s="3" t="str">
        <f t="shared" ref="F258:F321" si="8">TEXT(E258,"dd-mmm")</f>
        <v>02-Jul</v>
      </c>
      <c r="G258" s="3" t="str">
        <f t="shared" ref="G258:G321" si="9">TEXT(E258,"dddd")</f>
        <v>Saturday</v>
      </c>
      <c r="H258" t="s">
        <v>18</v>
      </c>
      <c r="I258" t="s">
        <v>19</v>
      </c>
      <c r="J258" t="s">
        <v>580</v>
      </c>
      <c r="K258" t="s">
        <v>21</v>
      </c>
      <c r="L258">
        <v>1</v>
      </c>
    </row>
    <row r="259" spans="1:12">
      <c r="A259">
        <v>258</v>
      </c>
      <c r="B259" t="s">
        <v>581</v>
      </c>
      <c r="C259" t="s">
        <v>573</v>
      </c>
      <c r="D259" t="s">
        <v>43</v>
      </c>
      <c r="E259" s="3">
        <v>44753</v>
      </c>
      <c r="F259" s="3" t="str">
        <f t="shared" si="8"/>
        <v>11-Jul</v>
      </c>
      <c r="G259" s="3" t="str">
        <f t="shared" si="9"/>
        <v>Monday</v>
      </c>
      <c r="H259" t="s">
        <v>24</v>
      </c>
      <c r="I259" t="s">
        <v>19</v>
      </c>
      <c r="J259" t="s">
        <v>582</v>
      </c>
      <c r="K259" t="s">
        <v>26</v>
      </c>
      <c r="L259">
        <v>9</v>
      </c>
    </row>
    <row r="260" spans="1:12">
      <c r="A260">
        <v>259</v>
      </c>
      <c r="B260" t="s">
        <v>583</v>
      </c>
      <c r="C260" t="s">
        <v>575</v>
      </c>
      <c r="D260" t="s">
        <v>49</v>
      </c>
      <c r="E260" s="3">
        <v>44762</v>
      </c>
      <c r="F260" s="3" t="str">
        <f t="shared" si="8"/>
        <v>20-Jul</v>
      </c>
      <c r="G260" s="3" t="str">
        <f t="shared" si="9"/>
        <v>Wednesday</v>
      </c>
      <c r="H260" t="s">
        <v>24</v>
      </c>
      <c r="I260" t="s">
        <v>30</v>
      </c>
      <c r="J260" t="s">
        <v>584</v>
      </c>
      <c r="K260" t="s">
        <v>32</v>
      </c>
      <c r="L260">
        <v>6</v>
      </c>
    </row>
    <row r="261" spans="1:12">
      <c r="A261">
        <v>260</v>
      </c>
      <c r="B261" t="s">
        <v>585</v>
      </c>
      <c r="C261" t="s">
        <v>577</v>
      </c>
      <c r="D261" t="s">
        <v>40</v>
      </c>
      <c r="E261" s="3">
        <v>44740</v>
      </c>
      <c r="F261" s="3" t="str">
        <f t="shared" si="8"/>
        <v>28-Jun</v>
      </c>
      <c r="G261" s="3" t="str">
        <f t="shared" si="9"/>
        <v>Tuesday</v>
      </c>
      <c r="H261" t="s">
        <v>18</v>
      </c>
      <c r="I261" t="s">
        <v>19</v>
      </c>
      <c r="J261" t="s">
        <v>586</v>
      </c>
      <c r="K261" t="s">
        <v>21</v>
      </c>
      <c r="L261">
        <v>9</v>
      </c>
    </row>
    <row r="262" spans="1:12">
      <c r="A262">
        <v>261</v>
      </c>
      <c r="B262" t="s">
        <v>587</v>
      </c>
      <c r="C262" t="s">
        <v>579</v>
      </c>
      <c r="D262" t="s">
        <v>54</v>
      </c>
      <c r="E262" s="3">
        <v>44729</v>
      </c>
      <c r="F262" s="3" t="str">
        <f t="shared" si="8"/>
        <v>17-Jun</v>
      </c>
      <c r="G262" s="3" t="str">
        <f t="shared" si="9"/>
        <v>Friday</v>
      </c>
      <c r="H262" t="s">
        <v>24</v>
      </c>
      <c r="I262" t="s">
        <v>19</v>
      </c>
      <c r="J262" t="s">
        <v>588</v>
      </c>
      <c r="K262" t="s">
        <v>26</v>
      </c>
      <c r="L262">
        <v>9</v>
      </c>
    </row>
    <row r="263" spans="1:12">
      <c r="A263">
        <v>262</v>
      </c>
      <c r="B263" t="s">
        <v>589</v>
      </c>
      <c r="C263" t="s">
        <v>581</v>
      </c>
      <c r="D263" t="s">
        <v>57</v>
      </c>
      <c r="E263" s="3">
        <v>44727</v>
      </c>
      <c r="F263" s="3" t="str">
        <f t="shared" si="8"/>
        <v>15-Jun</v>
      </c>
      <c r="G263" s="3" t="str">
        <f t="shared" si="9"/>
        <v>Wednesday</v>
      </c>
      <c r="H263" t="s">
        <v>29</v>
      </c>
      <c r="I263" t="s">
        <v>19</v>
      </c>
      <c r="J263" t="s">
        <v>590</v>
      </c>
      <c r="K263" t="s">
        <v>32</v>
      </c>
      <c r="L263">
        <v>3</v>
      </c>
    </row>
    <row r="264" spans="1:12">
      <c r="A264">
        <v>263</v>
      </c>
      <c r="B264" t="s">
        <v>591</v>
      </c>
      <c r="C264" t="s">
        <v>583</v>
      </c>
      <c r="D264" t="s">
        <v>60</v>
      </c>
      <c r="E264" s="3">
        <v>44734</v>
      </c>
      <c r="F264" s="3" t="str">
        <f t="shared" si="8"/>
        <v>22-Jun</v>
      </c>
      <c r="G264" s="3" t="str">
        <f t="shared" si="9"/>
        <v>Wednesday</v>
      </c>
      <c r="H264" t="s">
        <v>18</v>
      </c>
      <c r="I264" t="s">
        <v>19</v>
      </c>
      <c r="J264" t="s">
        <v>592</v>
      </c>
      <c r="K264" t="s">
        <v>21</v>
      </c>
      <c r="L264">
        <v>2</v>
      </c>
    </row>
    <row r="265" spans="1:12">
      <c r="A265">
        <v>264</v>
      </c>
      <c r="B265" t="s">
        <v>593</v>
      </c>
      <c r="C265" t="s">
        <v>585</v>
      </c>
      <c r="D265" t="s">
        <v>63</v>
      </c>
      <c r="E265" s="3">
        <v>44744</v>
      </c>
      <c r="F265" s="3" t="str">
        <f t="shared" si="8"/>
        <v>02-Jul</v>
      </c>
      <c r="G265" s="3" t="str">
        <f t="shared" si="9"/>
        <v>Saturday</v>
      </c>
      <c r="H265" t="s">
        <v>24</v>
      </c>
      <c r="I265" t="s">
        <v>19</v>
      </c>
      <c r="J265" t="s">
        <v>594</v>
      </c>
      <c r="K265" t="s">
        <v>26</v>
      </c>
      <c r="L265">
        <v>3</v>
      </c>
    </row>
    <row r="266" spans="1:12">
      <c r="A266">
        <v>265</v>
      </c>
      <c r="B266" t="s">
        <v>595</v>
      </c>
      <c r="C266" t="s">
        <v>587</v>
      </c>
      <c r="D266" t="s">
        <v>40</v>
      </c>
      <c r="E266" s="3">
        <v>44737</v>
      </c>
      <c r="F266" s="3" t="str">
        <f t="shared" si="8"/>
        <v>25-Jun</v>
      </c>
      <c r="G266" s="3" t="str">
        <f t="shared" si="9"/>
        <v>Saturday</v>
      </c>
      <c r="H266" t="s">
        <v>29</v>
      </c>
      <c r="I266" t="s">
        <v>30</v>
      </c>
      <c r="J266" t="s">
        <v>596</v>
      </c>
      <c r="K266" t="s">
        <v>32</v>
      </c>
      <c r="L266">
        <v>10</v>
      </c>
    </row>
    <row r="267" spans="1:12">
      <c r="A267">
        <v>266</v>
      </c>
      <c r="B267" t="s">
        <v>597</v>
      </c>
      <c r="C267" t="s">
        <v>589</v>
      </c>
      <c r="D267" t="s">
        <v>68</v>
      </c>
      <c r="E267" s="3">
        <v>44752</v>
      </c>
      <c r="F267" s="3" t="str">
        <f t="shared" si="8"/>
        <v>10-Jul</v>
      </c>
      <c r="G267" s="3" t="str">
        <f t="shared" si="9"/>
        <v>Sunday</v>
      </c>
      <c r="H267" t="s">
        <v>18</v>
      </c>
      <c r="I267" t="s">
        <v>19</v>
      </c>
      <c r="J267" t="s">
        <v>598</v>
      </c>
      <c r="K267" t="s">
        <v>21</v>
      </c>
      <c r="L267">
        <v>3</v>
      </c>
    </row>
    <row r="268" spans="1:12">
      <c r="A268">
        <v>267</v>
      </c>
      <c r="B268" t="s">
        <v>599</v>
      </c>
      <c r="C268" t="s">
        <v>591</v>
      </c>
      <c r="D268" t="s">
        <v>57</v>
      </c>
      <c r="E268" s="3">
        <v>44736</v>
      </c>
      <c r="F268" s="3" t="str">
        <f t="shared" si="8"/>
        <v>24-Jun</v>
      </c>
      <c r="G268" s="3" t="str">
        <f t="shared" si="9"/>
        <v>Friday</v>
      </c>
      <c r="H268" t="s">
        <v>24</v>
      </c>
      <c r="I268" t="s">
        <v>19</v>
      </c>
      <c r="J268" t="s">
        <v>600</v>
      </c>
      <c r="K268" t="s">
        <v>26</v>
      </c>
      <c r="L268">
        <v>1</v>
      </c>
    </row>
    <row r="269" spans="1:12">
      <c r="A269">
        <v>268</v>
      </c>
      <c r="B269" t="s">
        <v>601</v>
      </c>
      <c r="C269" t="s">
        <v>593</v>
      </c>
      <c r="D269" t="s">
        <v>37</v>
      </c>
      <c r="E269" s="3">
        <v>44752</v>
      </c>
      <c r="F269" s="3" t="str">
        <f t="shared" si="8"/>
        <v>10-Jul</v>
      </c>
      <c r="G269" s="3" t="str">
        <f t="shared" si="9"/>
        <v>Sunday</v>
      </c>
      <c r="H269" t="s">
        <v>29</v>
      </c>
      <c r="I269" t="s">
        <v>19</v>
      </c>
      <c r="J269" t="s">
        <v>602</v>
      </c>
      <c r="K269" t="s">
        <v>32</v>
      </c>
      <c r="L269">
        <v>5</v>
      </c>
    </row>
    <row r="270" spans="1:12">
      <c r="A270">
        <v>269</v>
      </c>
      <c r="B270" t="s">
        <v>603</v>
      </c>
      <c r="C270" t="s">
        <v>595</v>
      </c>
      <c r="D270" t="s">
        <v>75</v>
      </c>
      <c r="E270" s="3">
        <v>44759</v>
      </c>
      <c r="F270" s="3" t="str">
        <f t="shared" si="8"/>
        <v>17-Jul</v>
      </c>
      <c r="G270" s="3" t="str">
        <f t="shared" si="9"/>
        <v>Sunday</v>
      </c>
      <c r="H270" t="s">
        <v>18</v>
      </c>
      <c r="I270" t="s">
        <v>19</v>
      </c>
      <c r="J270" t="s">
        <v>604</v>
      </c>
      <c r="K270" t="s">
        <v>21</v>
      </c>
      <c r="L270">
        <v>1</v>
      </c>
    </row>
    <row r="271" spans="1:12">
      <c r="A271">
        <v>270</v>
      </c>
      <c r="B271" t="s">
        <v>605</v>
      </c>
      <c r="C271" t="s">
        <v>597</v>
      </c>
      <c r="D271" t="s">
        <v>78</v>
      </c>
      <c r="E271" s="3">
        <v>44763</v>
      </c>
      <c r="F271" s="3" t="str">
        <f t="shared" si="8"/>
        <v>21-Jul</v>
      </c>
      <c r="G271" s="3" t="str">
        <f t="shared" si="9"/>
        <v>Thursday</v>
      </c>
      <c r="H271" t="s">
        <v>24</v>
      </c>
      <c r="I271" t="s">
        <v>19</v>
      </c>
      <c r="J271" t="s">
        <v>606</v>
      </c>
      <c r="K271" t="s">
        <v>26</v>
      </c>
      <c r="L271">
        <v>5</v>
      </c>
    </row>
    <row r="272" spans="1:12">
      <c r="A272">
        <v>271</v>
      </c>
      <c r="B272" t="s">
        <v>607</v>
      </c>
      <c r="C272" t="s">
        <v>599</v>
      </c>
      <c r="D272" t="s">
        <v>81</v>
      </c>
      <c r="E272" s="3">
        <v>44763</v>
      </c>
      <c r="F272" s="3" t="str">
        <f t="shared" si="8"/>
        <v>21-Jul</v>
      </c>
      <c r="G272" s="3" t="str">
        <f t="shared" si="9"/>
        <v>Thursday</v>
      </c>
      <c r="H272" t="s">
        <v>24</v>
      </c>
      <c r="I272" t="s">
        <v>30</v>
      </c>
      <c r="J272" t="s">
        <v>608</v>
      </c>
      <c r="K272" t="s">
        <v>32</v>
      </c>
      <c r="L272">
        <v>5</v>
      </c>
    </row>
    <row r="273" spans="1:12">
      <c r="A273">
        <v>272</v>
      </c>
      <c r="B273" t="s">
        <v>609</v>
      </c>
      <c r="C273" t="s">
        <v>601</v>
      </c>
      <c r="D273" t="s">
        <v>84</v>
      </c>
      <c r="E273" s="3">
        <v>44750</v>
      </c>
      <c r="F273" s="3" t="str">
        <f t="shared" si="8"/>
        <v>08-Jul</v>
      </c>
      <c r="G273" s="3" t="str">
        <f t="shared" si="9"/>
        <v>Friday</v>
      </c>
      <c r="H273" t="s">
        <v>18</v>
      </c>
      <c r="I273" t="s">
        <v>19</v>
      </c>
      <c r="J273" t="s">
        <v>610</v>
      </c>
      <c r="K273" t="s">
        <v>21</v>
      </c>
      <c r="L273">
        <v>3</v>
      </c>
    </row>
    <row r="274" spans="1:12">
      <c r="A274">
        <v>273</v>
      </c>
      <c r="B274" t="s">
        <v>611</v>
      </c>
      <c r="C274" t="s">
        <v>603</v>
      </c>
      <c r="D274" t="s">
        <v>87</v>
      </c>
      <c r="E274" s="3">
        <v>44751</v>
      </c>
      <c r="F274" s="3" t="str">
        <f t="shared" si="8"/>
        <v>09-Jul</v>
      </c>
      <c r="G274" s="3" t="str">
        <f t="shared" si="9"/>
        <v>Saturday</v>
      </c>
      <c r="H274" t="s">
        <v>24</v>
      </c>
      <c r="I274" t="s">
        <v>19</v>
      </c>
      <c r="J274" t="s">
        <v>612</v>
      </c>
      <c r="K274" t="s">
        <v>26</v>
      </c>
      <c r="L274">
        <v>3</v>
      </c>
    </row>
    <row r="275" spans="1:12">
      <c r="A275">
        <v>274</v>
      </c>
      <c r="B275" t="s">
        <v>613</v>
      </c>
      <c r="C275" t="s">
        <v>605</v>
      </c>
      <c r="D275" t="s">
        <v>90</v>
      </c>
      <c r="E275" s="3">
        <v>44736</v>
      </c>
      <c r="F275" s="3" t="str">
        <f t="shared" si="8"/>
        <v>24-Jun</v>
      </c>
      <c r="G275" s="3" t="str">
        <f t="shared" si="9"/>
        <v>Friday</v>
      </c>
      <c r="H275" t="s">
        <v>29</v>
      </c>
      <c r="I275" t="s">
        <v>19</v>
      </c>
      <c r="J275" t="s">
        <v>614</v>
      </c>
      <c r="K275" t="s">
        <v>32</v>
      </c>
      <c r="L275">
        <v>7</v>
      </c>
    </row>
    <row r="276" spans="1:12">
      <c r="A276">
        <v>275</v>
      </c>
      <c r="B276" t="s">
        <v>615</v>
      </c>
      <c r="C276" t="s">
        <v>607</v>
      </c>
      <c r="D276" t="s">
        <v>93</v>
      </c>
      <c r="E276" s="3">
        <v>44737</v>
      </c>
      <c r="F276" s="3" t="str">
        <f t="shared" si="8"/>
        <v>25-Jun</v>
      </c>
      <c r="G276" s="3" t="str">
        <f t="shared" si="9"/>
        <v>Saturday</v>
      </c>
      <c r="H276" t="s">
        <v>18</v>
      </c>
      <c r="I276" t="s">
        <v>19</v>
      </c>
      <c r="J276" t="s">
        <v>616</v>
      </c>
      <c r="K276" t="s">
        <v>21</v>
      </c>
      <c r="L276">
        <v>4</v>
      </c>
    </row>
    <row r="277" spans="1:12">
      <c r="A277">
        <v>276</v>
      </c>
      <c r="B277" t="s">
        <v>617</v>
      </c>
      <c r="C277" t="s">
        <v>609</v>
      </c>
      <c r="D277" t="s">
        <v>96</v>
      </c>
      <c r="E277" s="3">
        <v>44744</v>
      </c>
      <c r="F277" s="3" t="str">
        <f t="shared" si="8"/>
        <v>02-Jul</v>
      </c>
      <c r="G277" s="3" t="str">
        <f t="shared" si="9"/>
        <v>Saturday</v>
      </c>
      <c r="H277" t="s">
        <v>24</v>
      </c>
      <c r="I277" t="s">
        <v>19</v>
      </c>
      <c r="J277" t="s">
        <v>618</v>
      </c>
      <c r="K277" t="s">
        <v>26</v>
      </c>
      <c r="L277">
        <v>3</v>
      </c>
    </row>
    <row r="278" spans="1:12">
      <c r="A278">
        <v>277</v>
      </c>
      <c r="B278" t="s">
        <v>619</v>
      </c>
      <c r="C278" t="s">
        <v>611</v>
      </c>
      <c r="D278" t="s">
        <v>99</v>
      </c>
      <c r="E278" s="3">
        <v>44735</v>
      </c>
      <c r="F278" s="3" t="str">
        <f t="shared" si="8"/>
        <v>23-Jun</v>
      </c>
      <c r="G278" s="3" t="str">
        <f t="shared" si="9"/>
        <v>Thursday</v>
      </c>
      <c r="H278" t="s">
        <v>29</v>
      </c>
      <c r="I278" t="s">
        <v>30</v>
      </c>
      <c r="J278" t="s">
        <v>620</v>
      </c>
      <c r="K278" t="s">
        <v>32</v>
      </c>
      <c r="L278">
        <v>8</v>
      </c>
    </row>
    <row r="279" spans="1:12">
      <c r="A279">
        <v>278</v>
      </c>
      <c r="B279" t="s">
        <v>621</v>
      </c>
      <c r="C279" t="s">
        <v>613</v>
      </c>
      <c r="D279" t="s">
        <v>103</v>
      </c>
      <c r="E279" s="3">
        <v>44751</v>
      </c>
      <c r="F279" s="3" t="str">
        <f t="shared" si="8"/>
        <v>09-Jul</v>
      </c>
      <c r="G279" s="3" t="str">
        <f t="shared" si="9"/>
        <v>Saturday</v>
      </c>
      <c r="H279" t="s">
        <v>18</v>
      </c>
      <c r="I279" t="s">
        <v>19</v>
      </c>
      <c r="J279" t="s">
        <v>622</v>
      </c>
      <c r="K279" t="s">
        <v>21</v>
      </c>
      <c r="L279">
        <v>2</v>
      </c>
    </row>
    <row r="280" spans="1:12">
      <c r="A280">
        <v>279</v>
      </c>
      <c r="B280" t="s">
        <v>623</v>
      </c>
      <c r="C280" t="s">
        <v>615</v>
      </c>
      <c r="D280" t="s">
        <v>106</v>
      </c>
      <c r="E280" s="3">
        <v>44726</v>
      </c>
      <c r="F280" s="3" t="str">
        <f t="shared" si="8"/>
        <v>14-Jun</v>
      </c>
      <c r="G280" s="3" t="str">
        <f t="shared" si="9"/>
        <v>Tuesday</v>
      </c>
      <c r="H280" t="s">
        <v>24</v>
      </c>
      <c r="I280" t="s">
        <v>19</v>
      </c>
      <c r="J280" t="s">
        <v>624</v>
      </c>
      <c r="K280" t="s">
        <v>26</v>
      </c>
      <c r="L280">
        <v>9</v>
      </c>
    </row>
    <row r="281" spans="1:12">
      <c r="A281">
        <v>280</v>
      </c>
      <c r="B281" t="s">
        <v>625</v>
      </c>
      <c r="C281" t="s">
        <v>617</v>
      </c>
      <c r="D281" t="s">
        <v>109</v>
      </c>
      <c r="E281" s="3">
        <v>44749</v>
      </c>
      <c r="F281" s="3" t="str">
        <f t="shared" si="8"/>
        <v>07-Jul</v>
      </c>
      <c r="G281" s="3" t="str">
        <f t="shared" si="9"/>
        <v>Thursday</v>
      </c>
      <c r="H281" t="s">
        <v>29</v>
      </c>
      <c r="I281" t="s">
        <v>19</v>
      </c>
      <c r="J281" t="s">
        <v>626</v>
      </c>
      <c r="K281" t="s">
        <v>32</v>
      </c>
      <c r="L281">
        <v>6</v>
      </c>
    </row>
    <row r="282" spans="1:12">
      <c r="A282">
        <v>281</v>
      </c>
      <c r="B282" t="s">
        <v>627</v>
      </c>
      <c r="C282" t="s">
        <v>619</v>
      </c>
      <c r="D282" t="s">
        <v>112</v>
      </c>
      <c r="E282" s="3">
        <v>44734</v>
      </c>
      <c r="F282" s="3" t="str">
        <f t="shared" si="8"/>
        <v>22-Jun</v>
      </c>
      <c r="G282" s="3" t="str">
        <f t="shared" si="9"/>
        <v>Wednesday</v>
      </c>
      <c r="H282" t="s">
        <v>18</v>
      </c>
      <c r="I282" t="s">
        <v>19</v>
      </c>
      <c r="J282" t="s">
        <v>628</v>
      </c>
      <c r="K282" t="s">
        <v>21</v>
      </c>
      <c r="L282">
        <v>7</v>
      </c>
    </row>
    <row r="283" spans="1:12">
      <c r="A283">
        <v>282</v>
      </c>
      <c r="B283" t="s">
        <v>629</v>
      </c>
      <c r="C283" t="s">
        <v>621</v>
      </c>
      <c r="D283" t="s">
        <v>115</v>
      </c>
      <c r="E283" s="3">
        <v>44726</v>
      </c>
      <c r="F283" s="3" t="str">
        <f t="shared" si="8"/>
        <v>14-Jun</v>
      </c>
      <c r="G283" s="3" t="str">
        <f t="shared" si="9"/>
        <v>Tuesday</v>
      </c>
      <c r="H283" t="s">
        <v>24</v>
      </c>
      <c r="I283" t="s">
        <v>19</v>
      </c>
      <c r="J283" t="s">
        <v>630</v>
      </c>
      <c r="K283" t="s">
        <v>26</v>
      </c>
      <c r="L283">
        <v>9</v>
      </c>
    </row>
    <row r="284" spans="1:12">
      <c r="A284">
        <v>283</v>
      </c>
      <c r="B284" t="s">
        <v>631</v>
      </c>
      <c r="C284" t="s">
        <v>623</v>
      </c>
      <c r="D284" t="s">
        <v>63</v>
      </c>
      <c r="E284" s="3">
        <v>44743</v>
      </c>
      <c r="F284" s="3" t="str">
        <f t="shared" si="8"/>
        <v>01-Jul</v>
      </c>
      <c r="G284" s="3" t="str">
        <f t="shared" si="9"/>
        <v>Friday</v>
      </c>
      <c r="H284" t="s">
        <v>24</v>
      </c>
      <c r="I284" t="s">
        <v>30</v>
      </c>
      <c r="J284" t="s">
        <v>632</v>
      </c>
      <c r="K284" t="s">
        <v>32</v>
      </c>
      <c r="L284">
        <v>2</v>
      </c>
    </row>
    <row r="285" spans="1:12">
      <c r="A285">
        <v>284</v>
      </c>
      <c r="B285" t="s">
        <v>633</v>
      </c>
      <c r="C285" t="s">
        <v>625</v>
      </c>
      <c r="D285" t="s">
        <v>87</v>
      </c>
      <c r="E285" s="3">
        <v>44742</v>
      </c>
      <c r="F285" s="3" t="str">
        <f t="shared" si="8"/>
        <v>30-Jun</v>
      </c>
      <c r="G285" s="3" t="str">
        <f t="shared" si="9"/>
        <v>Thursday</v>
      </c>
      <c r="H285" t="s">
        <v>18</v>
      </c>
      <c r="I285" t="s">
        <v>19</v>
      </c>
      <c r="J285" t="s">
        <v>634</v>
      </c>
      <c r="K285" t="s">
        <v>21</v>
      </c>
      <c r="L285">
        <v>9</v>
      </c>
    </row>
    <row r="286" spans="1:12">
      <c r="A286">
        <v>285</v>
      </c>
      <c r="B286" t="s">
        <v>635</v>
      </c>
      <c r="C286" t="s">
        <v>627</v>
      </c>
      <c r="D286" t="s">
        <v>103</v>
      </c>
      <c r="E286" s="3">
        <v>44747</v>
      </c>
      <c r="F286" s="3" t="str">
        <f t="shared" si="8"/>
        <v>05-Jul</v>
      </c>
      <c r="G286" s="3" t="str">
        <f t="shared" si="9"/>
        <v>Tuesday</v>
      </c>
      <c r="H286" t="s">
        <v>24</v>
      </c>
      <c r="I286" t="s">
        <v>19</v>
      </c>
      <c r="J286" t="s">
        <v>636</v>
      </c>
      <c r="K286" t="s">
        <v>26</v>
      </c>
      <c r="L286">
        <v>10</v>
      </c>
    </row>
    <row r="287" spans="1:12">
      <c r="A287">
        <v>286</v>
      </c>
      <c r="B287" t="s">
        <v>637</v>
      </c>
      <c r="C287" t="s">
        <v>629</v>
      </c>
      <c r="D287" t="s">
        <v>37</v>
      </c>
      <c r="E287" s="3">
        <v>44764</v>
      </c>
      <c r="F287" s="3" t="str">
        <f t="shared" si="8"/>
        <v>22-Jul</v>
      </c>
      <c r="G287" s="3" t="str">
        <f t="shared" si="9"/>
        <v>Friday</v>
      </c>
      <c r="H287" t="s">
        <v>29</v>
      </c>
      <c r="I287" t="s">
        <v>19</v>
      </c>
      <c r="J287" t="s">
        <v>638</v>
      </c>
      <c r="K287" t="s">
        <v>32</v>
      </c>
      <c r="L287">
        <v>1</v>
      </c>
    </row>
    <row r="288" spans="1:12">
      <c r="A288">
        <v>287</v>
      </c>
      <c r="B288" t="s">
        <v>639</v>
      </c>
      <c r="C288" t="s">
        <v>631</v>
      </c>
      <c r="D288" t="s">
        <v>68</v>
      </c>
      <c r="E288" s="3">
        <v>44735</v>
      </c>
      <c r="F288" s="3" t="str">
        <f t="shared" si="8"/>
        <v>23-Jun</v>
      </c>
      <c r="G288" s="3" t="str">
        <f t="shared" si="9"/>
        <v>Thursday</v>
      </c>
      <c r="H288" t="s">
        <v>18</v>
      </c>
      <c r="I288" t="s">
        <v>19</v>
      </c>
      <c r="J288" t="s">
        <v>640</v>
      </c>
      <c r="K288" t="s">
        <v>21</v>
      </c>
      <c r="L288">
        <v>1</v>
      </c>
    </row>
    <row r="289" spans="1:12">
      <c r="A289">
        <v>288</v>
      </c>
      <c r="B289" t="s">
        <v>641</v>
      </c>
      <c r="C289" t="s">
        <v>633</v>
      </c>
      <c r="D289" t="s">
        <v>109</v>
      </c>
      <c r="E289" s="3">
        <v>44737</v>
      </c>
      <c r="F289" s="3" t="str">
        <f t="shared" si="8"/>
        <v>25-Jun</v>
      </c>
      <c r="G289" s="3" t="str">
        <f t="shared" si="9"/>
        <v>Saturday</v>
      </c>
      <c r="H289" t="s">
        <v>24</v>
      </c>
      <c r="I289" t="s">
        <v>19</v>
      </c>
      <c r="J289" t="s">
        <v>642</v>
      </c>
      <c r="K289" t="s">
        <v>26</v>
      </c>
      <c r="L289">
        <v>10</v>
      </c>
    </row>
    <row r="290" spans="1:12">
      <c r="A290">
        <v>289</v>
      </c>
      <c r="B290" t="s">
        <v>643</v>
      </c>
      <c r="C290" t="s">
        <v>635</v>
      </c>
      <c r="D290" t="s">
        <v>112</v>
      </c>
      <c r="E290" s="3">
        <v>44749</v>
      </c>
      <c r="F290" s="3" t="str">
        <f t="shared" si="8"/>
        <v>07-Jul</v>
      </c>
      <c r="G290" s="3" t="str">
        <f t="shared" si="9"/>
        <v>Thursday</v>
      </c>
      <c r="H290" t="s">
        <v>24</v>
      </c>
      <c r="I290" t="s">
        <v>30</v>
      </c>
      <c r="J290" t="s">
        <v>644</v>
      </c>
      <c r="K290" t="s">
        <v>32</v>
      </c>
      <c r="L290">
        <v>4</v>
      </c>
    </row>
    <row r="291" spans="1:12">
      <c r="A291">
        <v>290</v>
      </c>
      <c r="B291" t="s">
        <v>645</v>
      </c>
      <c r="C291" t="s">
        <v>637</v>
      </c>
      <c r="D291" t="s">
        <v>134</v>
      </c>
      <c r="E291" s="3">
        <v>44729</v>
      </c>
      <c r="F291" s="3" t="str">
        <f t="shared" si="8"/>
        <v>17-Jun</v>
      </c>
      <c r="G291" s="3" t="str">
        <f t="shared" si="9"/>
        <v>Friday</v>
      </c>
      <c r="H291" t="s">
        <v>18</v>
      </c>
      <c r="I291" t="s">
        <v>19</v>
      </c>
      <c r="J291" t="s">
        <v>646</v>
      </c>
      <c r="K291" t="s">
        <v>21</v>
      </c>
      <c r="L291">
        <v>7</v>
      </c>
    </row>
    <row r="292" spans="1:12">
      <c r="A292">
        <v>291</v>
      </c>
      <c r="B292" t="s">
        <v>647</v>
      </c>
      <c r="C292" t="s">
        <v>639</v>
      </c>
      <c r="D292" t="s">
        <v>54</v>
      </c>
      <c r="E292" s="3">
        <v>44738</v>
      </c>
      <c r="F292" s="3" t="str">
        <f t="shared" si="8"/>
        <v>26-Jun</v>
      </c>
      <c r="G292" s="3" t="str">
        <f t="shared" si="9"/>
        <v>Sunday</v>
      </c>
      <c r="H292" t="s">
        <v>24</v>
      </c>
      <c r="I292" t="s">
        <v>19</v>
      </c>
      <c r="J292" t="s">
        <v>648</v>
      </c>
      <c r="K292" t="s">
        <v>26</v>
      </c>
      <c r="L292">
        <v>3</v>
      </c>
    </row>
    <row r="293" spans="1:12">
      <c r="A293">
        <v>292</v>
      </c>
      <c r="B293" t="s">
        <v>649</v>
      </c>
      <c r="C293" t="s">
        <v>641</v>
      </c>
      <c r="D293" t="s">
        <v>139</v>
      </c>
      <c r="E293" s="3">
        <v>44740</v>
      </c>
      <c r="F293" s="3" t="str">
        <f t="shared" si="8"/>
        <v>28-Jun</v>
      </c>
      <c r="G293" s="3" t="str">
        <f t="shared" si="9"/>
        <v>Tuesday</v>
      </c>
      <c r="H293" t="s">
        <v>29</v>
      </c>
      <c r="I293" t="s">
        <v>19</v>
      </c>
      <c r="J293" t="s">
        <v>650</v>
      </c>
      <c r="K293" t="s">
        <v>32</v>
      </c>
      <c r="L293">
        <v>6</v>
      </c>
    </row>
    <row r="294" spans="1:12">
      <c r="A294">
        <v>293</v>
      </c>
      <c r="B294" t="s">
        <v>651</v>
      </c>
      <c r="C294" t="s">
        <v>643</v>
      </c>
      <c r="D294" t="s">
        <v>142</v>
      </c>
      <c r="E294" s="3">
        <v>44755</v>
      </c>
      <c r="F294" s="3" t="str">
        <f t="shared" si="8"/>
        <v>13-Jul</v>
      </c>
      <c r="G294" s="3" t="str">
        <f t="shared" si="9"/>
        <v>Wednesday</v>
      </c>
      <c r="H294" t="s">
        <v>18</v>
      </c>
      <c r="I294" t="s">
        <v>19</v>
      </c>
      <c r="J294" t="s">
        <v>652</v>
      </c>
      <c r="K294" t="s">
        <v>21</v>
      </c>
      <c r="L294">
        <v>6</v>
      </c>
    </row>
    <row r="295" spans="1:12">
      <c r="A295">
        <v>294</v>
      </c>
      <c r="B295" t="s">
        <v>653</v>
      </c>
      <c r="C295" t="s">
        <v>645</v>
      </c>
      <c r="D295" t="s">
        <v>145</v>
      </c>
      <c r="E295" s="3">
        <v>44755</v>
      </c>
      <c r="F295" s="3" t="str">
        <f t="shared" si="8"/>
        <v>13-Jul</v>
      </c>
      <c r="G295" s="3" t="str">
        <f t="shared" si="9"/>
        <v>Wednesday</v>
      </c>
      <c r="H295" t="s">
        <v>24</v>
      </c>
      <c r="I295" t="s">
        <v>19</v>
      </c>
      <c r="J295" t="s">
        <v>654</v>
      </c>
      <c r="K295" t="s">
        <v>26</v>
      </c>
      <c r="L295">
        <v>5</v>
      </c>
    </row>
    <row r="296" spans="1:12">
      <c r="A296">
        <v>295</v>
      </c>
      <c r="B296" t="s">
        <v>655</v>
      </c>
      <c r="C296" t="s">
        <v>647</v>
      </c>
      <c r="D296" t="s">
        <v>148</v>
      </c>
      <c r="E296" s="3">
        <v>44764</v>
      </c>
      <c r="F296" s="3" t="str">
        <f t="shared" si="8"/>
        <v>22-Jul</v>
      </c>
      <c r="G296" s="3" t="str">
        <f t="shared" si="9"/>
        <v>Friday</v>
      </c>
      <c r="H296" t="s">
        <v>29</v>
      </c>
      <c r="I296" t="s">
        <v>30</v>
      </c>
      <c r="J296" t="s">
        <v>656</v>
      </c>
      <c r="K296" t="s">
        <v>32</v>
      </c>
      <c r="L296">
        <v>1</v>
      </c>
    </row>
    <row r="297" spans="1:12">
      <c r="A297">
        <v>296</v>
      </c>
      <c r="B297" t="s">
        <v>657</v>
      </c>
      <c r="C297" t="s">
        <v>649</v>
      </c>
      <c r="D297" t="s">
        <v>151</v>
      </c>
      <c r="E297" s="3">
        <v>44735</v>
      </c>
      <c r="F297" s="3" t="str">
        <f t="shared" si="8"/>
        <v>23-Jun</v>
      </c>
      <c r="G297" s="3" t="str">
        <f t="shared" si="9"/>
        <v>Thursday</v>
      </c>
      <c r="H297" t="s">
        <v>18</v>
      </c>
      <c r="I297" t="s">
        <v>19</v>
      </c>
      <c r="J297" t="s">
        <v>658</v>
      </c>
      <c r="K297" t="s">
        <v>21</v>
      </c>
      <c r="L297">
        <v>9</v>
      </c>
    </row>
    <row r="298" spans="1:12">
      <c r="A298">
        <v>297</v>
      </c>
      <c r="B298" t="s">
        <v>659</v>
      </c>
      <c r="C298" t="s">
        <v>651</v>
      </c>
      <c r="D298" t="s">
        <v>154</v>
      </c>
      <c r="E298" s="3">
        <v>44734</v>
      </c>
      <c r="F298" s="3" t="str">
        <f t="shared" si="8"/>
        <v>22-Jun</v>
      </c>
      <c r="G298" s="3" t="str">
        <f t="shared" si="9"/>
        <v>Wednesday</v>
      </c>
      <c r="H298" t="s">
        <v>24</v>
      </c>
      <c r="I298" t="s">
        <v>19</v>
      </c>
      <c r="J298" t="s">
        <v>660</v>
      </c>
      <c r="K298" t="s">
        <v>26</v>
      </c>
      <c r="L298">
        <v>3</v>
      </c>
    </row>
    <row r="299" spans="1:12">
      <c r="A299">
        <v>298</v>
      </c>
      <c r="B299" t="s">
        <v>661</v>
      </c>
      <c r="C299" t="s">
        <v>653</v>
      </c>
      <c r="D299" t="s">
        <v>157</v>
      </c>
      <c r="E299" s="3">
        <v>44728</v>
      </c>
      <c r="F299" s="3" t="str">
        <f t="shared" si="8"/>
        <v>16-Jun</v>
      </c>
      <c r="G299" s="3" t="str">
        <f t="shared" si="9"/>
        <v>Thursday</v>
      </c>
      <c r="H299" t="s">
        <v>24</v>
      </c>
      <c r="I299" t="s">
        <v>19</v>
      </c>
      <c r="J299" t="s">
        <v>662</v>
      </c>
      <c r="K299" t="s">
        <v>32</v>
      </c>
      <c r="L299">
        <v>4</v>
      </c>
    </row>
    <row r="300" spans="1:12">
      <c r="A300">
        <v>299</v>
      </c>
      <c r="B300" t="s">
        <v>663</v>
      </c>
      <c r="C300" t="s">
        <v>655</v>
      </c>
      <c r="D300" t="s">
        <v>160</v>
      </c>
      <c r="E300" s="3">
        <v>44739</v>
      </c>
      <c r="F300" s="3" t="str">
        <f t="shared" si="8"/>
        <v>27-Jun</v>
      </c>
      <c r="G300" s="3" t="str">
        <f t="shared" si="9"/>
        <v>Monday</v>
      </c>
      <c r="H300" t="s">
        <v>18</v>
      </c>
      <c r="I300" t="s">
        <v>19</v>
      </c>
      <c r="J300" t="s">
        <v>664</v>
      </c>
      <c r="K300" t="s">
        <v>21</v>
      </c>
      <c r="L300">
        <v>8</v>
      </c>
    </row>
    <row r="301" spans="1:12">
      <c r="A301">
        <v>300</v>
      </c>
      <c r="B301" t="s">
        <v>665</v>
      </c>
      <c r="C301" t="s">
        <v>657</v>
      </c>
      <c r="D301" t="s">
        <v>163</v>
      </c>
      <c r="E301" s="3">
        <v>44765</v>
      </c>
      <c r="F301" s="3" t="str">
        <f t="shared" si="8"/>
        <v>23-Jul</v>
      </c>
      <c r="G301" s="3" t="str">
        <f t="shared" si="9"/>
        <v>Saturday</v>
      </c>
      <c r="H301" t="s">
        <v>24</v>
      </c>
      <c r="I301" t="s">
        <v>19</v>
      </c>
      <c r="J301" t="s">
        <v>666</v>
      </c>
      <c r="K301" t="s">
        <v>21</v>
      </c>
      <c r="L301">
        <v>6</v>
      </c>
    </row>
    <row r="302" spans="1:12">
      <c r="A302">
        <v>301</v>
      </c>
      <c r="B302" t="s">
        <v>667</v>
      </c>
      <c r="C302" t="s">
        <v>659</v>
      </c>
      <c r="D302" t="s">
        <v>17</v>
      </c>
      <c r="E302" s="3">
        <v>44740</v>
      </c>
      <c r="F302" s="3" t="str">
        <f t="shared" si="8"/>
        <v>28-Jun</v>
      </c>
      <c r="G302" s="3" t="str">
        <f t="shared" si="9"/>
        <v>Tuesday</v>
      </c>
      <c r="H302" t="s">
        <v>18</v>
      </c>
      <c r="I302" t="s">
        <v>19</v>
      </c>
      <c r="J302" t="s">
        <v>668</v>
      </c>
      <c r="K302" t="s">
        <v>21</v>
      </c>
      <c r="L302">
        <v>9</v>
      </c>
    </row>
    <row r="303" spans="1:12">
      <c r="A303">
        <v>302</v>
      </c>
      <c r="B303" t="s">
        <v>669</v>
      </c>
      <c r="C303" t="s">
        <v>661</v>
      </c>
      <c r="D303" t="s">
        <v>23</v>
      </c>
      <c r="E303" s="3">
        <v>44734</v>
      </c>
      <c r="F303" s="3" t="str">
        <f t="shared" si="8"/>
        <v>22-Jun</v>
      </c>
      <c r="G303" s="3" t="str">
        <f t="shared" si="9"/>
        <v>Wednesday</v>
      </c>
      <c r="H303" t="s">
        <v>24</v>
      </c>
      <c r="I303" t="s">
        <v>19</v>
      </c>
      <c r="J303" t="s">
        <v>670</v>
      </c>
      <c r="K303" t="s">
        <v>26</v>
      </c>
      <c r="L303">
        <v>7</v>
      </c>
    </row>
    <row r="304" spans="1:12">
      <c r="A304">
        <v>303</v>
      </c>
      <c r="B304" t="s">
        <v>671</v>
      </c>
      <c r="C304" t="s">
        <v>663</v>
      </c>
      <c r="D304" t="s">
        <v>28</v>
      </c>
      <c r="E304" s="3">
        <v>44727</v>
      </c>
      <c r="F304" s="3" t="str">
        <f t="shared" si="8"/>
        <v>15-Jun</v>
      </c>
      <c r="G304" s="3" t="str">
        <f t="shared" si="9"/>
        <v>Wednesday</v>
      </c>
      <c r="H304" t="s">
        <v>29</v>
      </c>
      <c r="I304" t="s">
        <v>30</v>
      </c>
      <c r="J304" t="s">
        <v>672</v>
      </c>
      <c r="K304" t="s">
        <v>32</v>
      </c>
      <c r="L304">
        <v>8</v>
      </c>
    </row>
    <row r="305" spans="1:12">
      <c r="A305">
        <v>304</v>
      </c>
      <c r="B305" t="s">
        <v>673</v>
      </c>
      <c r="C305" t="s">
        <v>665</v>
      </c>
      <c r="D305" t="s">
        <v>34</v>
      </c>
      <c r="E305" s="3">
        <v>44737</v>
      </c>
      <c r="F305" s="3" t="str">
        <f t="shared" si="8"/>
        <v>25-Jun</v>
      </c>
      <c r="G305" s="3" t="str">
        <f t="shared" si="9"/>
        <v>Saturday</v>
      </c>
      <c r="H305" t="s">
        <v>18</v>
      </c>
      <c r="I305" t="s">
        <v>19</v>
      </c>
      <c r="J305" t="s">
        <v>674</v>
      </c>
      <c r="K305" t="s">
        <v>21</v>
      </c>
      <c r="L305">
        <v>6</v>
      </c>
    </row>
    <row r="306" spans="1:12">
      <c r="A306">
        <v>305</v>
      </c>
      <c r="B306" t="s">
        <v>675</v>
      </c>
      <c r="C306" t="s">
        <v>667</v>
      </c>
      <c r="D306" t="s">
        <v>37</v>
      </c>
      <c r="E306" s="3">
        <v>44747</v>
      </c>
      <c r="F306" s="3" t="str">
        <f t="shared" si="8"/>
        <v>05-Jul</v>
      </c>
      <c r="G306" s="3" t="str">
        <f t="shared" si="9"/>
        <v>Tuesday</v>
      </c>
      <c r="H306" t="s">
        <v>24</v>
      </c>
      <c r="I306" t="s">
        <v>19</v>
      </c>
      <c r="J306" t="s">
        <v>676</v>
      </c>
      <c r="K306" t="s">
        <v>26</v>
      </c>
      <c r="L306">
        <v>2</v>
      </c>
    </row>
    <row r="307" spans="1:12">
      <c r="A307">
        <v>306</v>
      </c>
      <c r="B307" t="s">
        <v>677</v>
      </c>
      <c r="C307" t="s">
        <v>669</v>
      </c>
      <c r="D307" t="s">
        <v>40</v>
      </c>
      <c r="E307" s="3">
        <v>44754</v>
      </c>
      <c r="F307" s="3" t="str">
        <f t="shared" si="8"/>
        <v>12-Jul</v>
      </c>
      <c r="G307" s="3" t="str">
        <f t="shared" si="9"/>
        <v>Tuesday</v>
      </c>
      <c r="H307" t="s">
        <v>24</v>
      </c>
      <c r="I307" t="s">
        <v>19</v>
      </c>
      <c r="J307" t="s">
        <v>678</v>
      </c>
      <c r="K307" t="s">
        <v>32</v>
      </c>
      <c r="L307">
        <v>4</v>
      </c>
    </row>
    <row r="308" spans="1:12">
      <c r="A308">
        <v>307</v>
      </c>
      <c r="B308" t="s">
        <v>679</v>
      </c>
      <c r="C308" t="s">
        <v>671</v>
      </c>
      <c r="D308" t="s">
        <v>43</v>
      </c>
      <c r="E308" s="3">
        <v>44760</v>
      </c>
      <c r="F308" s="3" t="str">
        <f t="shared" si="8"/>
        <v>18-Jul</v>
      </c>
      <c r="G308" s="3" t="str">
        <f t="shared" si="9"/>
        <v>Monday</v>
      </c>
      <c r="H308" t="s">
        <v>18</v>
      </c>
      <c r="I308" t="s">
        <v>19</v>
      </c>
      <c r="J308" t="s">
        <v>680</v>
      </c>
      <c r="K308" t="s">
        <v>21</v>
      </c>
      <c r="L308">
        <v>1</v>
      </c>
    </row>
    <row r="309" spans="1:12">
      <c r="A309">
        <v>308</v>
      </c>
      <c r="B309" t="s">
        <v>681</v>
      </c>
      <c r="C309" t="s">
        <v>673</v>
      </c>
      <c r="D309" t="s">
        <v>43</v>
      </c>
      <c r="E309" s="3">
        <v>44759</v>
      </c>
      <c r="F309" s="3" t="str">
        <f t="shared" si="8"/>
        <v>17-Jul</v>
      </c>
      <c r="G309" s="3" t="str">
        <f t="shared" si="9"/>
        <v>Sunday</v>
      </c>
      <c r="H309" t="s">
        <v>24</v>
      </c>
      <c r="I309" t="s">
        <v>19</v>
      </c>
      <c r="J309" t="s">
        <v>682</v>
      </c>
      <c r="K309" t="s">
        <v>26</v>
      </c>
      <c r="L309">
        <v>9</v>
      </c>
    </row>
    <row r="310" spans="1:12">
      <c r="A310">
        <v>309</v>
      </c>
      <c r="B310" t="s">
        <v>683</v>
      </c>
      <c r="C310" t="s">
        <v>675</v>
      </c>
      <c r="D310" t="s">
        <v>49</v>
      </c>
      <c r="E310" s="3">
        <v>44735</v>
      </c>
      <c r="F310" s="3" t="str">
        <f t="shared" si="8"/>
        <v>23-Jun</v>
      </c>
      <c r="G310" s="3" t="str">
        <f t="shared" si="9"/>
        <v>Thursday</v>
      </c>
      <c r="H310" t="s">
        <v>18</v>
      </c>
      <c r="I310" t="s">
        <v>30</v>
      </c>
      <c r="J310" t="s">
        <v>684</v>
      </c>
      <c r="K310" t="s">
        <v>32</v>
      </c>
      <c r="L310">
        <v>6</v>
      </c>
    </row>
    <row r="311" spans="1:12">
      <c r="A311">
        <v>310</v>
      </c>
      <c r="B311" t="s">
        <v>685</v>
      </c>
      <c r="C311" t="s">
        <v>677</v>
      </c>
      <c r="D311" t="s">
        <v>184</v>
      </c>
      <c r="E311" s="3">
        <v>44734</v>
      </c>
      <c r="F311" s="3" t="str">
        <f t="shared" si="8"/>
        <v>22-Jun</v>
      </c>
      <c r="G311" s="3" t="str">
        <f t="shared" si="9"/>
        <v>Wednesday</v>
      </c>
      <c r="H311" t="s">
        <v>24</v>
      </c>
      <c r="I311" t="s">
        <v>19</v>
      </c>
      <c r="J311" t="s">
        <v>686</v>
      </c>
      <c r="K311" t="s">
        <v>21</v>
      </c>
      <c r="L311">
        <v>9</v>
      </c>
    </row>
    <row r="312" spans="1:12">
      <c r="A312">
        <v>311</v>
      </c>
      <c r="B312" t="s">
        <v>687</v>
      </c>
      <c r="C312" t="s">
        <v>679</v>
      </c>
      <c r="D312" t="s">
        <v>54</v>
      </c>
      <c r="E312" s="3">
        <v>44753</v>
      </c>
      <c r="F312" s="3" t="str">
        <f t="shared" si="8"/>
        <v>11-Jul</v>
      </c>
      <c r="G312" s="3" t="str">
        <f t="shared" si="9"/>
        <v>Monday</v>
      </c>
      <c r="H312" t="s">
        <v>24</v>
      </c>
      <c r="I312" t="s">
        <v>19</v>
      </c>
      <c r="J312" t="s">
        <v>688</v>
      </c>
      <c r="K312" t="s">
        <v>26</v>
      </c>
      <c r="L312">
        <v>9</v>
      </c>
    </row>
    <row r="313" spans="1:12">
      <c r="A313">
        <v>312</v>
      </c>
      <c r="B313" t="s">
        <v>689</v>
      </c>
      <c r="C313" t="s">
        <v>681</v>
      </c>
      <c r="D313" t="s">
        <v>57</v>
      </c>
      <c r="E313" s="3">
        <v>44739</v>
      </c>
      <c r="F313" s="3" t="str">
        <f t="shared" si="8"/>
        <v>27-Jun</v>
      </c>
      <c r="G313" s="3" t="str">
        <f t="shared" si="9"/>
        <v>Monday</v>
      </c>
      <c r="H313" t="s">
        <v>18</v>
      </c>
      <c r="I313" t="s">
        <v>19</v>
      </c>
      <c r="J313" t="s">
        <v>690</v>
      </c>
      <c r="K313" t="s">
        <v>32</v>
      </c>
      <c r="L313">
        <v>3</v>
      </c>
    </row>
    <row r="314" spans="1:12">
      <c r="A314">
        <v>313</v>
      </c>
      <c r="B314" t="s">
        <v>691</v>
      </c>
      <c r="C314" t="s">
        <v>683</v>
      </c>
      <c r="D314" t="s">
        <v>60</v>
      </c>
      <c r="E314" s="3">
        <v>44740</v>
      </c>
      <c r="F314" s="3" t="str">
        <f t="shared" si="8"/>
        <v>28-Jun</v>
      </c>
      <c r="G314" s="3" t="str">
        <f t="shared" si="9"/>
        <v>Tuesday</v>
      </c>
      <c r="H314" t="s">
        <v>24</v>
      </c>
      <c r="I314" t="s">
        <v>19</v>
      </c>
      <c r="J314" t="s">
        <v>692</v>
      </c>
      <c r="K314" t="s">
        <v>21</v>
      </c>
      <c r="L314">
        <v>2</v>
      </c>
    </row>
    <row r="315" spans="1:12">
      <c r="A315">
        <v>314</v>
      </c>
      <c r="B315" t="s">
        <v>693</v>
      </c>
      <c r="C315" t="s">
        <v>685</v>
      </c>
      <c r="D315" t="s">
        <v>63</v>
      </c>
      <c r="E315" s="3">
        <v>44748</v>
      </c>
      <c r="F315" s="3" t="str">
        <f t="shared" si="8"/>
        <v>06-Jul</v>
      </c>
      <c r="G315" s="3" t="str">
        <f t="shared" si="9"/>
        <v>Wednesday</v>
      </c>
      <c r="H315" t="s">
        <v>24</v>
      </c>
      <c r="I315" t="s">
        <v>19</v>
      </c>
      <c r="J315" t="s">
        <v>694</v>
      </c>
      <c r="K315" t="s">
        <v>26</v>
      </c>
      <c r="L315">
        <v>3</v>
      </c>
    </row>
    <row r="316" spans="1:12">
      <c r="A316">
        <v>315</v>
      </c>
      <c r="B316" t="s">
        <v>695</v>
      </c>
      <c r="C316" t="s">
        <v>687</v>
      </c>
      <c r="D316" t="s">
        <v>163</v>
      </c>
      <c r="E316" s="3">
        <v>44731</v>
      </c>
      <c r="F316" s="3" t="str">
        <f t="shared" si="8"/>
        <v>19-Jun</v>
      </c>
      <c r="G316" s="3" t="str">
        <f t="shared" si="9"/>
        <v>Sunday</v>
      </c>
      <c r="H316" t="s">
        <v>18</v>
      </c>
      <c r="I316" t="s">
        <v>30</v>
      </c>
      <c r="J316" t="s">
        <v>696</v>
      </c>
      <c r="K316" t="s">
        <v>32</v>
      </c>
      <c r="L316">
        <v>10</v>
      </c>
    </row>
    <row r="317" spans="1:12">
      <c r="A317">
        <v>316</v>
      </c>
      <c r="B317" t="s">
        <v>697</v>
      </c>
      <c r="C317" t="s">
        <v>689</v>
      </c>
      <c r="D317" t="s">
        <v>17</v>
      </c>
      <c r="E317" s="3">
        <v>44763</v>
      </c>
      <c r="F317" s="3" t="str">
        <f t="shared" si="8"/>
        <v>21-Jul</v>
      </c>
      <c r="G317" s="3" t="str">
        <f t="shared" si="9"/>
        <v>Thursday</v>
      </c>
      <c r="H317" t="s">
        <v>24</v>
      </c>
      <c r="I317" t="s">
        <v>19</v>
      </c>
      <c r="J317" t="s">
        <v>698</v>
      </c>
      <c r="K317" t="s">
        <v>21</v>
      </c>
      <c r="L317">
        <v>3</v>
      </c>
    </row>
    <row r="318" spans="1:12">
      <c r="A318">
        <v>317</v>
      </c>
      <c r="B318" t="s">
        <v>699</v>
      </c>
      <c r="C318" t="s">
        <v>691</v>
      </c>
      <c r="D318" t="s">
        <v>23</v>
      </c>
      <c r="E318" s="3">
        <v>44733</v>
      </c>
      <c r="F318" s="3" t="str">
        <f t="shared" si="8"/>
        <v>21-Jun</v>
      </c>
      <c r="G318" s="3" t="str">
        <f t="shared" si="9"/>
        <v>Tuesday</v>
      </c>
      <c r="H318" t="s">
        <v>18</v>
      </c>
      <c r="I318" t="s">
        <v>19</v>
      </c>
      <c r="J318" t="s">
        <v>700</v>
      </c>
      <c r="K318" t="s">
        <v>26</v>
      </c>
      <c r="L318">
        <v>1</v>
      </c>
    </row>
    <row r="319" spans="1:12">
      <c r="A319">
        <v>318</v>
      </c>
      <c r="B319" t="s">
        <v>701</v>
      </c>
      <c r="C319" t="s">
        <v>693</v>
      </c>
      <c r="D319" t="s">
        <v>28</v>
      </c>
      <c r="E319" s="3">
        <v>44746</v>
      </c>
      <c r="F319" s="3" t="str">
        <f t="shared" si="8"/>
        <v>04-Jul</v>
      </c>
      <c r="G319" s="3" t="str">
        <f t="shared" si="9"/>
        <v>Monday</v>
      </c>
      <c r="H319" t="s">
        <v>24</v>
      </c>
      <c r="I319" t="s">
        <v>19</v>
      </c>
      <c r="J319" t="s">
        <v>702</v>
      </c>
      <c r="K319" t="s">
        <v>32</v>
      </c>
      <c r="L319">
        <v>5</v>
      </c>
    </row>
    <row r="320" spans="1:12">
      <c r="A320">
        <v>319</v>
      </c>
      <c r="B320" t="s">
        <v>703</v>
      </c>
      <c r="C320" t="s">
        <v>695</v>
      </c>
      <c r="D320" t="s">
        <v>34</v>
      </c>
      <c r="E320" s="3">
        <v>44755</v>
      </c>
      <c r="F320" s="3" t="str">
        <f t="shared" si="8"/>
        <v>13-Jul</v>
      </c>
      <c r="G320" s="3" t="str">
        <f t="shared" si="9"/>
        <v>Wednesday</v>
      </c>
      <c r="H320" t="s">
        <v>18</v>
      </c>
      <c r="I320" t="s">
        <v>19</v>
      </c>
      <c r="J320" t="s">
        <v>704</v>
      </c>
      <c r="K320" t="s">
        <v>21</v>
      </c>
      <c r="L320">
        <v>1</v>
      </c>
    </row>
    <row r="321" spans="1:12">
      <c r="A321">
        <v>320</v>
      </c>
      <c r="B321" t="s">
        <v>705</v>
      </c>
      <c r="C321" t="s">
        <v>697</v>
      </c>
      <c r="D321" t="s">
        <v>37</v>
      </c>
      <c r="E321" s="3">
        <v>44755</v>
      </c>
      <c r="F321" s="3" t="str">
        <f t="shared" si="8"/>
        <v>13-Jul</v>
      </c>
      <c r="G321" s="3" t="str">
        <f t="shared" si="9"/>
        <v>Wednesday</v>
      </c>
      <c r="H321" t="s">
        <v>24</v>
      </c>
      <c r="I321" t="s">
        <v>19</v>
      </c>
      <c r="J321" t="s">
        <v>706</v>
      </c>
      <c r="K321" t="s">
        <v>26</v>
      </c>
      <c r="L321">
        <v>5</v>
      </c>
    </row>
    <row r="322" spans="1:12">
      <c r="A322">
        <v>321</v>
      </c>
      <c r="B322" t="s">
        <v>707</v>
      </c>
      <c r="C322" t="s">
        <v>699</v>
      </c>
      <c r="D322" t="s">
        <v>40</v>
      </c>
      <c r="E322" s="3">
        <v>44727</v>
      </c>
      <c r="F322" s="3" t="str">
        <f t="shared" ref="F322:F385" si="10">TEXT(E322,"dd-mmm")</f>
        <v>15-Jun</v>
      </c>
      <c r="G322" s="3" t="str">
        <f t="shared" ref="G322:G385" si="11">TEXT(E322,"dddd")</f>
        <v>Wednesday</v>
      </c>
      <c r="H322" t="s">
        <v>29</v>
      </c>
      <c r="I322" t="s">
        <v>30</v>
      </c>
      <c r="J322" t="s">
        <v>708</v>
      </c>
      <c r="K322" t="s">
        <v>32</v>
      </c>
      <c r="L322">
        <v>5</v>
      </c>
    </row>
    <row r="323" spans="1:12">
      <c r="A323">
        <v>322</v>
      </c>
      <c r="B323" t="s">
        <v>709</v>
      </c>
      <c r="C323" t="s">
        <v>701</v>
      </c>
      <c r="D323" t="s">
        <v>43</v>
      </c>
      <c r="E323" s="3">
        <v>44746</v>
      </c>
      <c r="F323" s="3" t="str">
        <f t="shared" si="10"/>
        <v>04-Jul</v>
      </c>
      <c r="G323" s="3" t="str">
        <f t="shared" si="11"/>
        <v>Monday</v>
      </c>
      <c r="H323" t="s">
        <v>18</v>
      </c>
      <c r="I323" t="s">
        <v>19</v>
      </c>
      <c r="J323" t="s">
        <v>710</v>
      </c>
      <c r="K323" t="s">
        <v>21</v>
      </c>
      <c r="L323">
        <v>3</v>
      </c>
    </row>
    <row r="324" spans="1:12">
      <c r="A324">
        <v>323</v>
      </c>
      <c r="B324" t="s">
        <v>711</v>
      </c>
      <c r="C324" t="s">
        <v>703</v>
      </c>
      <c r="D324" t="s">
        <v>43</v>
      </c>
      <c r="E324" s="3">
        <v>44740</v>
      </c>
      <c r="F324" s="3" t="str">
        <f t="shared" si="10"/>
        <v>28-Jun</v>
      </c>
      <c r="G324" s="3" t="str">
        <f t="shared" si="11"/>
        <v>Tuesday</v>
      </c>
      <c r="H324" t="s">
        <v>24</v>
      </c>
      <c r="I324" t="s">
        <v>19</v>
      </c>
      <c r="J324" t="s">
        <v>712</v>
      </c>
      <c r="K324" t="s">
        <v>26</v>
      </c>
      <c r="L324">
        <v>3</v>
      </c>
    </row>
    <row r="325" spans="1:12">
      <c r="A325">
        <v>324</v>
      </c>
      <c r="B325" t="s">
        <v>713</v>
      </c>
      <c r="C325" t="s">
        <v>705</v>
      </c>
      <c r="D325" t="s">
        <v>49</v>
      </c>
      <c r="E325" s="3">
        <v>44743</v>
      </c>
      <c r="F325" s="3" t="str">
        <f t="shared" si="10"/>
        <v>01-Jul</v>
      </c>
      <c r="G325" s="3" t="str">
        <f t="shared" si="11"/>
        <v>Friday</v>
      </c>
      <c r="H325" t="s">
        <v>24</v>
      </c>
      <c r="I325" t="s">
        <v>19</v>
      </c>
      <c r="J325" t="s">
        <v>714</v>
      </c>
      <c r="K325" t="s">
        <v>32</v>
      </c>
      <c r="L325">
        <v>7</v>
      </c>
    </row>
    <row r="326" spans="1:12">
      <c r="A326">
        <v>325</v>
      </c>
      <c r="B326" t="s">
        <v>715</v>
      </c>
      <c r="C326" t="s">
        <v>707</v>
      </c>
      <c r="D326" t="s">
        <v>40</v>
      </c>
      <c r="E326" s="3">
        <v>44737</v>
      </c>
      <c r="F326" s="3" t="str">
        <f t="shared" si="10"/>
        <v>25-Jun</v>
      </c>
      <c r="G326" s="3" t="str">
        <f t="shared" si="11"/>
        <v>Saturday</v>
      </c>
      <c r="H326" t="s">
        <v>18</v>
      </c>
      <c r="I326" t="s">
        <v>19</v>
      </c>
      <c r="J326" t="s">
        <v>716</v>
      </c>
      <c r="K326" t="s">
        <v>21</v>
      </c>
      <c r="L326">
        <v>4</v>
      </c>
    </row>
    <row r="327" spans="1:12">
      <c r="A327">
        <v>326</v>
      </c>
      <c r="B327" t="s">
        <v>717</v>
      </c>
      <c r="C327" t="s">
        <v>709</v>
      </c>
      <c r="D327" t="s">
        <v>54</v>
      </c>
      <c r="E327" s="3">
        <v>44757</v>
      </c>
      <c r="F327" s="3" t="str">
        <f t="shared" si="10"/>
        <v>15-Jul</v>
      </c>
      <c r="G327" s="3" t="str">
        <f t="shared" si="11"/>
        <v>Friday</v>
      </c>
      <c r="H327" t="s">
        <v>24</v>
      </c>
      <c r="I327" t="s">
        <v>19</v>
      </c>
      <c r="J327" t="s">
        <v>718</v>
      </c>
      <c r="K327" t="s">
        <v>26</v>
      </c>
      <c r="L327">
        <v>3</v>
      </c>
    </row>
    <row r="328" spans="1:12">
      <c r="A328">
        <v>327</v>
      </c>
      <c r="B328" t="s">
        <v>719</v>
      </c>
      <c r="C328" t="s">
        <v>711</v>
      </c>
      <c r="D328" t="s">
        <v>57</v>
      </c>
      <c r="E328" s="3">
        <v>44745</v>
      </c>
      <c r="F328" s="3" t="str">
        <f t="shared" si="10"/>
        <v>03-Jul</v>
      </c>
      <c r="G328" s="3" t="str">
        <f t="shared" si="11"/>
        <v>Sunday</v>
      </c>
      <c r="H328" t="s">
        <v>18</v>
      </c>
      <c r="I328" t="s">
        <v>30</v>
      </c>
      <c r="J328" t="s">
        <v>720</v>
      </c>
      <c r="K328" t="s">
        <v>32</v>
      </c>
      <c r="L328">
        <v>8</v>
      </c>
    </row>
    <row r="329" spans="1:12">
      <c r="A329">
        <v>328</v>
      </c>
      <c r="B329" t="s">
        <v>721</v>
      </c>
      <c r="C329" t="s">
        <v>713</v>
      </c>
      <c r="D329" t="s">
        <v>60</v>
      </c>
      <c r="E329" s="3">
        <v>44760</v>
      </c>
      <c r="F329" s="3" t="str">
        <f t="shared" si="10"/>
        <v>18-Jul</v>
      </c>
      <c r="G329" s="3" t="str">
        <f t="shared" si="11"/>
        <v>Monday</v>
      </c>
      <c r="H329" t="s">
        <v>24</v>
      </c>
      <c r="I329" t="s">
        <v>19</v>
      </c>
      <c r="J329" t="s">
        <v>722</v>
      </c>
      <c r="K329" t="s">
        <v>21</v>
      </c>
      <c r="L329">
        <v>2</v>
      </c>
    </row>
    <row r="330" spans="1:12">
      <c r="A330">
        <v>329</v>
      </c>
      <c r="B330" t="s">
        <v>723</v>
      </c>
      <c r="C330" t="s">
        <v>715</v>
      </c>
      <c r="D330" t="s">
        <v>63</v>
      </c>
      <c r="E330" s="3">
        <v>44750</v>
      </c>
      <c r="F330" s="3" t="str">
        <f t="shared" si="10"/>
        <v>08-Jul</v>
      </c>
      <c r="G330" s="3" t="str">
        <f t="shared" si="11"/>
        <v>Friday</v>
      </c>
      <c r="H330" t="s">
        <v>24</v>
      </c>
      <c r="I330" t="s">
        <v>19</v>
      </c>
      <c r="J330" t="s">
        <v>724</v>
      </c>
      <c r="K330" t="s">
        <v>26</v>
      </c>
      <c r="L330">
        <v>9</v>
      </c>
    </row>
    <row r="331" spans="1:12">
      <c r="A331">
        <v>330</v>
      </c>
      <c r="B331" t="s">
        <v>725</v>
      </c>
      <c r="C331" t="s">
        <v>717</v>
      </c>
      <c r="D331" t="s">
        <v>40</v>
      </c>
      <c r="E331" s="3">
        <v>44742</v>
      </c>
      <c r="F331" s="3" t="str">
        <f t="shared" si="10"/>
        <v>30-Jun</v>
      </c>
      <c r="G331" s="3" t="str">
        <f t="shared" si="11"/>
        <v>Thursday</v>
      </c>
      <c r="H331" t="s">
        <v>18</v>
      </c>
      <c r="I331" t="s">
        <v>19</v>
      </c>
      <c r="J331" t="s">
        <v>726</v>
      </c>
      <c r="K331" t="s">
        <v>32</v>
      </c>
      <c r="L331">
        <v>6</v>
      </c>
    </row>
    <row r="332" spans="1:12">
      <c r="A332">
        <v>331</v>
      </c>
      <c r="B332" t="s">
        <v>727</v>
      </c>
      <c r="C332" t="s">
        <v>719</v>
      </c>
      <c r="D332" t="s">
        <v>68</v>
      </c>
      <c r="E332" s="3">
        <v>44754</v>
      </c>
      <c r="F332" s="3" t="str">
        <f t="shared" si="10"/>
        <v>12-Jul</v>
      </c>
      <c r="G332" s="3" t="str">
        <f t="shared" si="11"/>
        <v>Tuesday</v>
      </c>
      <c r="H332" t="s">
        <v>24</v>
      </c>
      <c r="I332" t="s">
        <v>19</v>
      </c>
      <c r="J332" t="s">
        <v>728</v>
      </c>
      <c r="K332" t="s">
        <v>21</v>
      </c>
      <c r="L332">
        <v>7</v>
      </c>
    </row>
    <row r="333" spans="1:12">
      <c r="A333">
        <v>332</v>
      </c>
      <c r="B333" t="s">
        <v>729</v>
      </c>
      <c r="C333" t="s">
        <v>721</v>
      </c>
      <c r="D333" t="s">
        <v>57</v>
      </c>
      <c r="E333" s="3">
        <v>44746</v>
      </c>
      <c r="F333" s="3" t="str">
        <f t="shared" si="10"/>
        <v>04-Jul</v>
      </c>
      <c r="G333" s="3" t="str">
        <f t="shared" si="11"/>
        <v>Monday</v>
      </c>
      <c r="H333" t="s">
        <v>24</v>
      </c>
      <c r="I333" t="s">
        <v>19</v>
      </c>
      <c r="J333" t="s">
        <v>730</v>
      </c>
      <c r="K333" t="s">
        <v>26</v>
      </c>
      <c r="L333">
        <v>9</v>
      </c>
    </row>
    <row r="334" spans="1:12">
      <c r="A334">
        <v>333</v>
      </c>
      <c r="B334" t="s">
        <v>731</v>
      </c>
      <c r="C334" t="s">
        <v>723</v>
      </c>
      <c r="D334" t="s">
        <v>37</v>
      </c>
      <c r="E334" s="3">
        <v>44752</v>
      </c>
      <c r="F334" s="3" t="str">
        <f t="shared" si="10"/>
        <v>10-Jul</v>
      </c>
      <c r="G334" s="3" t="str">
        <f t="shared" si="11"/>
        <v>Sunday</v>
      </c>
      <c r="H334" t="s">
        <v>18</v>
      </c>
      <c r="I334" t="s">
        <v>30</v>
      </c>
      <c r="J334" t="s">
        <v>732</v>
      </c>
      <c r="K334" t="s">
        <v>32</v>
      </c>
      <c r="L334">
        <v>2</v>
      </c>
    </row>
    <row r="335" spans="1:12">
      <c r="A335">
        <v>334</v>
      </c>
      <c r="B335" t="s">
        <v>733</v>
      </c>
      <c r="C335" t="s">
        <v>725</v>
      </c>
      <c r="D335" t="s">
        <v>54</v>
      </c>
      <c r="E335" s="3">
        <v>44725</v>
      </c>
      <c r="F335" s="3" t="str">
        <f t="shared" si="10"/>
        <v>13-Jun</v>
      </c>
      <c r="G335" s="3" t="str">
        <f t="shared" si="11"/>
        <v>Monday</v>
      </c>
      <c r="H335" t="s">
        <v>24</v>
      </c>
      <c r="I335" t="s">
        <v>19</v>
      </c>
      <c r="J335" t="s">
        <v>734</v>
      </c>
      <c r="K335" t="s">
        <v>21</v>
      </c>
      <c r="L335">
        <v>9</v>
      </c>
    </row>
    <row r="336" spans="1:12">
      <c r="A336">
        <v>335</v>
      </c>
      <c r="B336" t="s">
        <v>735</v>
      </c>
      <c r="C336" t="s">
        <v>727</v>
      </c>
      <c r="D336" t="s">
        <v>78</v>
      </c>
      <c r="E336" s="3">
        <v>44734</v>
      </c>
      <c r="F336" s="3" t="str">
        <f t="shared" si="10"/>
        <v>22-Jun</v>
      </c>
      <c r="G336" s="3" t="str">
        <f t="shared" si="11"/>
        <v>Wednesday</v>
      </c>
      <c r="H336" t="s">
        <v>18</v>
      </c>
      <c r="I336" t="s">
        <v>19</v>
      </c>
      <c r="J336" t="s">
        <v>736</v>
      </c>
      <c r="K336" t="s">
        <v>26</v>
      </c>
      <c r="L336">
        <v>10</v>
      </c>
    </row>
    <row r="337" spans="1:12">
      <c r="A337">
        <v>336</v>
      </c>
      <c r="B337" t="s">
        <v>737</v>
      </c>
      <c r="C337" t="s">
        <v>729</v>
      </c>
      <c r="D337" t="s">
        <v>81</v>
      </c>
      <c r="E337" s="3">
        <v>44761</v>
      </c>
      <c r="F337" s="3" t="str">
        <f t="shared" si="10"/>
        <v>19-Jul</v>
      </c>
      <c r="G337" s="3" t="str">
        <f t="shared" si="11"/>
        <v>Tuesday</v>
      </c>
      <c r="H337" t="s">
        <v>24</v>
      </c>
      <c r="I337" t="s">
        <v>19</v>
      </c>
      <c r="J337" t="s">
        <v>738</v>
      </c>
      <c r="K337" t="s">
        <v>32</v>
      </c>
      <c r="L337">
        <v>1</v>
      </c>
    </row>
    <row r="338" spans="1:12">
      <c r="A338">
        <v>337</v>
      </c>
      <c r="B338" t="s">
        <v>739</v>
      </c>
      <c r="C338" t="s">
        <v>731</v>
      </c>
      <c r="D338" t="s">
        <v>84</v>
      </c>
      <c r="E338" s="3">
        <v>44735</v>
      </c>
      <c r="F338" s="3" t="str">
        <f t="shared" si="10"/>
        <v>23-Jun</v>
      </c>
      <c r="G338" s="3" t="str">
        <f t="shared" si="11"/>
        <v>Thursday</v>
      </c>
      <c r="H338" t="s">
        <v>18</v>
      </c>
      <c r="I338" t="s">
        <v>19</v>
      </c>
      <c r="J338" t="s">
        <v>740</v>
      </c>
      <c r="K338" t="s">
        <v>21</v>
      </c>
      <c r="L338">
        <v>1</v>
      </c>
    </row>
    <row r="339" spans="1:12">
      <c r="A339">
        <v>338</v>
      </c>
      <c r="B339" t="s">
        <v>741</v>
      </c>
      <c r="C339" t="s">
        <v>733</v>
      </c>
      <c r="D339" t="s">
        <v>87</v>
      </c>
      <c r="E339" s="3">
        <v>44753</v>
      </c>
      <c r="F339" s="3" t="str">
        <f t="shared" si="10"/>
        <v>11-Jul</v>
      </c>
      <c r="G339" s="3" t="str">
        <f t="shared" si="11"/>
        <v>Monday</v>
      </c>
      <c r="H339" t="s">
        <v>24</v>
      </c>
      <c r="I339" t="s">
        <v>19</v>
      </c>
      <c r="J339" t="s">
        <v>742</v>
      </c>
      <c r="K339" t="s">
        <v>26</v>
      </c>
      <c r="L339">
        <v>10</v>
      </c>
    </row>
    <row r="340" spans="1:12">
      <c r="A340">
        <v>339</v>
      </c>
      <c r="B340" t="s">
        <v>743</v>
      </c>
      <c r="C340" t="s">
        <v>735</v>
      </c>
      <c r="D340" t="s">
        <v>90</v>
      </c>
      <c r="E340" s="3">
        <v>44732</v>
      </c>
      <c r="F340" s="3" t="str">
        <f t="shared" si="10"/>
        <v>20-Jun</v>
      </c>
      <c r="G340" s="3" t="str">
        <f t="shared" si="11"/>
        <v>Monday</v>
      </c>
      <c r="H340" t="s">
        <v>29</v>
      </c>
      <c r="I340" t="s">
        <v>30</v>
      </c>
      <c r="J340" t="s">
        <v>744</v>
      </c>
      <c r="K340" t="s">
        <v>32</v>
      </c>
      <c r="L340">
        <v>4</v>
      </c>
    </row>
    <row r="341" spans="1:12">
      <c r="A341">
        <v>340</v>
      </c>
      <c r="B341" t="s">
        <v>745</v>
      </c>
      <c r="C341" t="s">
        <v>737</v>
      </c>
      <c r="D341" t="s">
        <v>93</v>
      </c>
      <c r="E341" s="3">
        <v>44748</v>
      </c>
      <c r="F341" s="3" t="str">
        <f t="shared" si="10"/>
        <v>06-Jul</v>
      </c>
      <c r="G341" s="3" t="str">
        <f t="shared" si="11"/>
        <v>Wednesday</v>
      </c>
      <c r="H341" t="s">
        <v>18</v>
      </c>
      <c r="I341" t="s">
        <v>19</v>
      </c>
      <c r="J341" t="s">
        <v>746</v>
      </c>
      <c r="K341" t="s">
        <v>21</v>
      </c>
      <c r="L341">
        <v>7</v>
      </c>
    </row>
    <row r="342" spans="1:12">
      <c r="A342">
        <v>341</v>
      </c>
      <c r="B342" t="s">
        <v>747</v>
      </c>
      <c r="C342" t="s">
        <v>739</v>
      </c>
      <c r="D342" t="s">
        <v>96</v>
      </c>
      <c r="E342" s="3">
        <v>44731</v>
      </c>
      <c r="F342" s="3" t="str">
        <f t="shared" si="10"/>
        <v>19-Jun</v>
      </c>
      <c r="G342" s="3" t="str">
        <f t="shared" si="11"/>
        <v>Sunday</v>
      </c>
      <c r="H342" t="s">
        <v>24</v>
      </c>
      <c r="I342" t="s">
        <v>19</v>
      </c>
      <c r="J342" t="s">
        <v>748</v>
      </c>
      <c r="K342" t="s">
        <v>26</v>
      </c>
      <c r="L342">
        <v>3</v>
      </c>
    </row>
    <row r="343" spans="1:12">
      <c r="A343">
        <v>342</v>
      </c>
      <c r="B343" t="s">
        <v>749</v>
      </c>
      <c r="C343" t="s">
        <v>741</v>
      </c>
      <c r="D343" t="s">
        <v>99</v>
      </c>
      <c r="E343" s="3">
        <v>44725</v>
      </c>
      <c r="F343" s="3" t="str">
        <f t="shared" si="10"/>
        <v>13-Jun</v>
      </c>
      <c r="G343" s="3" t="str">
        <f t="shared" si="11"/>
        <v>Monday</v>
      </c>
      <c r="H343" t="s">
        <v>24</v>
      </c>
      <c r="I343" t="s">
        <v>19</v>
      </c>
      <c r="J343" t="s">
        <v>750</v>
      </c>
      <c r="K343" t="s">
        <v>32</v>
      </c>
      <c r="L343">
        <v>6</v>
      </c>
    </row>
    <row r="344" spans="1:12">
      <c r="A344">
        <v>343</v>
      </c>
      <c r="B344" t="s">
        <v>751</v>
      </c>
      <c r="C344" t="s">
        <v>743</v>
      </c>
      <c r="D344" t="s">
        <v>103</v>
      </c>
      <c r="E344" s="3">
        <v>44753</v>
      </c>
      <c r="F344" s="3" t="str">
        <f t="shared" si="10"/>
        <v>11-Jul</v>
      </c>
      <c r="G344" s="3" t="str">
        <f t="shared" si="11"/>
        <v>Monday</v>
      </c>
      <c r="H344" t="s">
        <v>18</v>
      </c>
      <c r="I344" t="s">
        <v>19</v>
      </c>
      <c r="J344" t="s">
        <v>752</v>
      </c>
      <c r="K344" t="s">
        <v>21</v>
      </c>
      <c r="L344">
        <v>6</v>
      </c>
    </row>
    <row r="345" spans="1:12">
      <c r="A345">
        <v>344</v>
      </c>
      <c r="B345" t="s">
        <v>753</v>
      </c>
      <c r="C345" t="s">
        <v>745</v>
      </c>
      <c r="D345" t="s">
        <v>106</v>
      </c>
      <c r="E345" s="3">
        <v>44738</v>
      </c>
      <c r="F345" s="3" t="str">
        <f t="shared" si="10"/>
        <v>26-Jun</v>
      </c>
      <c r="G345" s="3" t="str">
        <f t="shared" si="11"/>
        <v>Sunday</v>
      </c>
      <c r="H345" t="s">
        <v>24</v>
      </c>
      <c r="I345" t="s">
        <v>19</v>
      </c>
      <c r="J345" t="s">
        <v>754</v>
      </c>
      <c r="K345" t="s">
        <v>26</v>
      </c>
      <c r="L345">
        <v>5</v>
      </c>
    </row>
    <row r="346" spans="1:12">
      <c r="A346">
        <v>345</v>
      </c>
      <c r="B346" t="s">
        <v>755</v>
      </c>
      <c r="C346" t="s">
        <v>747</v>
      </c>
      <c r="D346" t="s">
        <v>109</v>
      </c>
      <c r="E346" s="3">
        <v>44762</v>
      </c>
      <c r="F346" s="3" t="str">
        <f t="shared" si="10"/>
        <v>20-Jul</v>
      </c>
      <c r="G346" s="3" t="str">
        <f t="shared" si="11"/>
        <v>Wednesday</v>
      </c>
      <c r="H346" t="s">
        <v>18</v>
      </c>
      <c r="I346" t="s">
        <v>30</v>
      </c>
      <c r="J346" t="s">
        <v>756</v>
      </c>
      <c r="K346" t="s">
        <v>32</v>
      </c>
      <c r="L346">
        <v>1</v>
      </c>
    </row>
    <row r="347" spans="1:12">
      <c r="A347">
        <v>346</v>
      </c>
      <c r="B347" t="s">
        <v>757</v>
      </c>
      <c r="C347" t="s">
        <v>749</v>
      </c>
      <c r="D347" t="s">
        <v>112</v>
      </c>
      <c r="E347" s="3">
        <v>44756</v>
      </c>
      <c r="F347" s="3" t="str">
        <f t="shared" si="10"/>
        <v>14-Jul</v>
      </c>
      <c r="G347" s="3" t="str">
        <f t="shared" si="11"/>
        <v>Thursday</v>
      </c>
      <c r="H347" t="s">
        <v>24</v>
      </c>
      <c r="I347" t="s">
        <v>19</v>
      </c>
      <c r="J347" t="s">
        <v>758</v>
      </c>
      <c r="K347" t="s">
        <v>21</v>
      </c>
      <c r="L347">
        <v>9</v>
      </c>
    </row>
    <row r="348" spans="1:12">
      <c r="A348">
        <v>347</v>
      </c>
      <c r="B348" t="s">
        <v>759</v>
      </c>
      <c r="C348" t="s">
        <v>751</v>
      </c>
      <c r="D348" t="s">
        <v>115</v>
      </c>
      <c r="E348" s="3">
        <v>44744</v>
      </c>
      <c r="F348" s="3" t="str">
        <f t="shared" si="10"/>
        <v>02-Jul</v>
      </c>
      <c r="G348" s="3" t="str">
        <f t="shared" si="11"/>
        <v>Saturday</v>
      </c>
      <c r="H348" t="s">
        <v>24</v>
      </c>
      <c r="I348" t="s">
        <v>19</v>
      </c>
      <c r="J348" t="s">
        <v>760</v>
      </c>
      <c r="K348" t="s">
        <v>26</v>
      </c>
      <c r="L348">
        <v>3</v>
      </c>
    </row>
    <row r="349" spans="1:12">
      <c r="A349">
        <v>348</v>
      </c>
      <c r="B349" t="s">
        <v>761</v>
      </c>
      <c r="C349" t="s">
        <v>753</v>
      </c>
      <c r="D349" t="s">
        <v>63</v>
      </c>
      <c r="E349" s="3">
        <v>44753</v>
      </c>
      <c r="F349" s="3" t="str">
        <f t="shared" si="10"/>
        <v>11-Jul</v>
      </c>
      <c r="G349" s="3" t="str">
        <f t="shared" si="11"/>
        <v>Monday</v>
      </c>
      <c r="H349" t="s">
        <v>18</v>
      </c>
      <c r="I349" t="s">
        <v>19</v>
      </c>
      <c r="J349" t="s">
        <v>762</v>
      </c>
      <c r="K349" t="s">
        <v>32</v>
      </c>
      <c r="L349">
        <v>4</v>
      </c>
    </row>
    <row r="350" spans="1:12">
      <c r="A350">
        <v>349</v>
      </c>
      <c r="B350" t="s">
        <v>763</v>
      </c>
      <c r="C350" t="s">
        <v>755</v>
      </c>
      <c r="D350" t="s">
        <v>87</v>
      </c>
      <c r="E350" s="3">
        <v>44762</v>
      </c>
      <c r="F350" s="3" t="str">
        <f t="shared" si="10"/>
        <v>20-Jul</v>
      </c>
      <c r="G350" s="3" t="str">
        <f t="shared" si="11"/>
        <v>Wednesday</v>
      </c>
      <c r="H350" t="s">
        <v>24</v>
      </c>
      <c r="I350" t="s">
        <v>19</v>
      </c>
      <c r="J350" t="s">
        <v>764</v>
      </c>
      <c r="K350" t="s">
        <v>21</v>
      </c>
      <c r="L350">
        <v>8</v>
      </c>
    </row>
    <row r="351" spans="1:12">
      <c r="A351">
        <v>350</v>
      </c>
      <c r="B351" t="s">
        <v>765</v>
      </c>
      <c r="C351" t="s">
        <v>757</v>
      </c>
      <c r="D351" t="s">
        <v>103</v>
      </c>
      <c r="E351" s="3">
        <v>44740</v>
      </c>
      <c r="F351" s="3" t="str">
        <f t="shared" si="10"/>
        <v>28-Jun</v>
      </c>
      <c r="G351" s="3" t="str">
        <f t="shared" si="11"/>
        <v>Tuesday</v>
      </c>
      <c r="H351" t="s">
        <v>24</v>
      </c>
      <c r="I351" t="s">
        <v>19</v>
      </c>
      <c r="J351" t="s">
        <v>766</v>
      </c>
      <c r="K351" t="s">
        <v>21</v>
      </c>
      <c r="L351">
        <v>6</v>
      </c>
    </row>
    <row r="352" spans="1:12">
      <c r="A352">
        <v>351</v>
      </c>
      <c r="B352" t="s">
        <v>767</v>
      </c>
      <c r="C352" t="s">
        <v>759</v>
      </c>
      <c r="D352" t="s">
        <v>37</v>
      </c>
      <c r="E352" s="3">
        <v>44729</v>
      </c>
      <c r="F352" s="3" t="str">
        <f t="shared" si="10"/>
        <v>17-Jun</v>
      </c>
      <c r="G352" s="3" t="str">
        <f t="shared" si="11"/>
        <v>Friday</v>
      </c>
      <c r="H352" t="s">
        <v>18</v>
      </c>
      <c r="I352" t="s">
        <v>19</v>
      </c>
      <c r="J352" t="s">
        <v>768</v>
      </c>
      <c r="K352" t="s">
        <v>21</v>
      </c>
      <c r="L352">
        <v>10</v>
      </c>
    </row>
    <row r="353" spans="1:12">
      <c r="A353">
        <v>352</v>
      </c>
      <c r="B353" t="s">
        <v>769</v>
      </c>
      <c r="C353" t="s">
        <v>761</v>
      </c>
      <c r="D353" t="s">
        <v>68</v>
      </c>
      <c r="E353" s="3">
        <v>44727</v>
      </c>
      <c r="F353" s="3" t="str">
        <f t="shared" si="10"/>
        <v>15-Jun</v>
      </c>
      <c r="G353" s="3" t="str">
        <f t="shared" si="11"/>
        <v>Wednesday</v>
      </c>
      <c r="H353" t="s">
        <v>24</v>
      </c>
      <c r="I353" t="s">
        <v>19</v>
      </c>
      <c r="J353" t="s">
        <v>770</v>
      </c>
      <c r="K353" t="s">
        <v>26</v>
      </c>
      <c r="L353">
        <v>9</v>
      </c>
    </row>
    <row r="354" spans="1:12">
      <c r="A354">
        <v>353</v>
      </c>
      <c r="B354" t="s">
        <v>771</v>
      </c>
      <c r="C354" t="s">
        <v>763</v>
      </c>
      <c r="D354" t="s">
        <v>109</v>
      </c>
      <c r="E354" s="3">
        <v>44734</v>
      </c>
      <c r="F354" s="3" t="str">
        <f t="shared" si="10"/>
        <v>22-Jun</v>
      </c>
      <c r="G354" s="3" t="str">
        <f t="shared" si="11"/>
        <v>Wednesday</v>
      </c>
      <c r="H354" t="s">
        <v>18</v>
      </c>
      <c r="I354" t="s">
        <v>19</v>
      </c>
      <c r="J354" t="s">
        <v>772</v>
      </c>
      <c r="K354" t="s">
        <v>32</v>
      </c>
      <c r="L354">
        <v>7</v>
      </c>
    </row>
    <row r="355" spans="1:12">
      <c r="A355">
        <v>354</v>
      </c>
      <c r="B355" t="s">
        <v>773</v>
      </c>
      <c r="C355" t="s">
        <v>765</v>
      </c>
      <c r="D355" t="s">
        <v>112</v>
      </c>
      <c r="E355" s="3">
        <v>44744</v>
      </c>
      <c r="F355" s="3" t="str">
        <f t="shared" si="10"/>
        <v>02-Jul</v>
      </c>
      <c r="G355" s="3" t="str">
        <f t="shared" si="11"/>
        <v>Saturday</v>
      </c>
      <c r="H355" t="s">
        <v>24</v>
      </c>
      <c r="I355" t="s">
        <v>19</v>
      </c>
      <c r="J355" t="s">
        <v>774</v>
      </c>
      <c r="K355" t="s">
        <v>21</v>
      </c>
      <c r="L355">
        <v>7</v>
      </c>
    </row>
    <row r="356" spans="1:12">
      <c r="A356">
        <v>355</v>
      </c>
      <c r="B356" t="s">
        <v>775</v>
      </c>
      <c r="C356" t="s">
        <v>767</v>
      </c>
      <c r="D356" t="s">
        <v>134</v>
      </c>
      <c r="E356" s="3">
        <v>44737</v>
      </c>
      <c r="F356" s="3" t="str">
        <f t="shared" si="10"/>
        <v>25-Jun</v>
      </c>
      <c r="G356" s="3" t="str">
        <f t="shared" si="11"/>
        <v>Saturday</v>
      </c>
      <c r="H356" t="s">
        <v>18</v>
      </c>
      <c r="I356" t="s">
        <v>19</v>
      </c>
      <c r="J356" t="s">
        <v>776</v>
      </c>
      <c r="K356" t="s">
        <v>26</v>
      </c>
      <c r="L356">
        <v>7</v>
      </c>
    </row>
    <row r="357" spans="1:12">
      <c r="A357">
        <v>356</v>
      </c>
      <c r="B357" t="s">
        <v>777</v>
      </c>
      <c r="C357" t="s">
        <v>769</v>
      </c>
      <c r="D357" t="s">
        <v>277</v>
      </c>
      <c r="E357" s="3">
        <v>44752</v>
      </c>
      <c r="F357" s="3" t="str">
        <f t="shared" si="10"/>
        <v>10-Jul</v>
      </c>
      <c r="G357" s="3" t="str">
        <f t="shared" si="11"/>
        <v>Sunday</v>
      </c>
      <c r="H357" t="s">
        <v>24</v>
      </c>
      <c r="I357" t="s">
        <v>19</v>
      </c>
      <c r="J357" t="s">
        <v>778</v>
      </c>
      <c r="K357" t="s">
        <v>32</v>
      </c>
      <c r="L357">
        <v>7</v>
      </c>
    </row>
    <row r="358" spans="1:12">
      <c r="A358">
        <v>357</v>
      </c>
      <c r="B358" t="s">
        <v>779</v>
      </c>
      <c r="C358" t="s">
        <v>771</v>
      </c>
      <c r="D358" t="s">
        <v>139</v>
      </c>
      <c r="E358" s="3">
        <v>44736</v>
      </c>
      <c r="F358" s="3" t="str">
        <f t="shared" si="10"/>
        <v>24-Jun</v>
      </c>
      <c r="G358" s="3" t="str">
        <f t="shared" si="11"/>
        <v>Friday</v>
      </c>
      <c r="H358" t="s">
        <v>29</v>
      </c>
      <c r="I358" t="s">
        <v>19</v>
      </c>
      <c r="J358" t="s">
        <v>780</v>
      </c>
      <c r="K358" t="s">
        <v>21</v>
      </c>
      <c r="L358">
        <v>8</v>
      </c>
    </row>
    <row r="359" spans="1:12">
      <c r="A359">
        <v>358</v>
      </c>
      <c r="B359" t="s">
        <v>781</v>
      </c>
      <c r="C359" t="s">
        <v>773</v>
      </c>
      <c r="D359" t="s">
        <v>142</v>
      </c>
      <c r="E359" s="3">
        <v>44752</v>
      </c>
      <c r="F359" s="3" t="str">
        <f t="shared" si="10"/>
        <v>10-Jul</v>
      </c>
      <c r="G359" s="3" t="str">
        <f t="shared" si="11"/>
        <v>Sunday</v>
      </c>
      <c r="H359" t="s">
        <v>18</v>
      </c>
      <c r="I359" t="s">
        <v>19</v>
      </c>
      <c r="J359" t="s">
        <v>782</v>
      </c>
      <c r="K359" t="s">
        <v>26</v>
      </c>
      <c r="L359">
        <v>10</v>
      </c>
    </row>
    <row r="360" spans="1:12">
      <c r="A360">
        <v>359</v>
      </c>
      <c r="B360" t="s">
        <v>783</v>
      </c>
      <c r="C360" t="s">
        <v>775</v>
      </c>
      <c r="D360" t="s">
        <v>145</v>
      </c>
      <c r="E360" s="3">
        <v>44759</v>
      </c>
      <c r="F360" s="3" t="str">
        <f t="shared" si="10"/>
        <v>17-Jul</v>
      </c>
      <c r="G360" s="3" t="str">
        <f t="shared" si="11"/>
        <v>Sunday</v>
      </c>
      <c r="H360" t="s">
        <v>24</v>
      </c>
      <c r="I360" t="s">
        <v>19</v>
      </c>
      <c r="J360" t="s">
        <v>784</v>
      </c>
      <c r="K360" t="s">
        <v>32</v>
      </c>
      <c r="L360">
        <v>10</v>
      </c>
    </row>
    <row r="361" spans="1:12">
      <c r="A361">
        <v>360</v>
      </c>
      <c r="B361" t="s">
        <v>785</v>
      </c>
      <c r="C361" t="s">
        <v>777</v>
      </c>
      <c r="D361" t="s">
        <v>148</v>
      </c>
      <c r="E361" s="3">
        <v>44763</v>
      </c>
      <c r="F361" s="3" t="str">
        <f t="shared" si="10"/>
        <v>21-Jul</v>
      </c>
      <c r="G361" s="3" t="str">
        <f t="shared" si="11"/>
        <v>Thursday</v>
      </c>
      <c r="H361" t="s">
        <v>24</v>
      </c>
      <c r="I361" t="s">
        <v>19</v>
      </c>
      <c r="J361" t="s">
        <v>786</v>
      </c>
      <c r="K361" t="s">
        <v>21</v>
      </c>
      <c r="L361">
        <v>10</v>
      </c>
    </row>
    <row r="362" spans="1:12">
      <c r="A362">
        <v>361</v>
      </c>
      <c r="B362" t="s">
        <v>787</v>
      </c>
      <c r="C362" t="s">
        <v>779</v>
      </c>
      <c r="D362" t="s">
        <v>151</v>
      </c>
      <c r="E362" s="3">
        <v>44763</v>
      </c>
      <c r="F362" s="3" t="str">
        <f t="shared" si="10"/>
        <v>21-Jul</v>
      </c>
      <c r="G362" s="3" t="str">
        <f t="shared" si="11"/>
        <v>Thursday</v>
      </c>
      <c r="H362" t="s">
        <v>18</v>
      </c>
      <c r="I362" t="s">
        <v>19</v>
      </c>
      <c r="J362" t="s">
        <v>788</v>
      </c>
      <c r="K362" t="s">
        <v>26</v>
      </c>
      <c r="L362">
        <v>10</v>
      </c>
    </row>
    <row r="363" spans="1:12">
      <c r="A363">
        <v>362</v>
      </c>
      <c r="B363" t="s">
        <v>789</v>
      </c>
      <c r="C363" t="s">
        <v>781</v>
      </c>
      <c r="D363" t="s">
        <v>154</v>
      </c>
      <c r="E363" s="3">
        <v>44750</v>
      </c>
      <c r="F363" s="3" t="str">
        <f t="shared" si="10"/>
        <v>08-Jul</v>
      </c>
      <c r="G363" s="3" t="str">
        <f t="shared" si="11"/>
        <v>Friday</v>
      </c>
      <c r="H363" t="s">
        <v>24</v>
      </c>
      <c r="I363" t="s">
        <v>19</v>
      </c>
      <c r="J363" t="s">
        <v>790</v>
      </c>
      <c r="K363" t="s">
        <v>32</v>
      </c>
      <c r="L363">
        <v>8</v>
      </c>
    </row>
    <row r="364" spans="1:12">
      <c r="A364">
        <v>363</v>
      </c>
      <c r="B364" t="s">
        <v>791</v>
      </c>
      <c r="C364" t="s">
        <v>783</v>
      </c>
      <c r="D364" t="s">
        <v>84</v>
      </c>
      <c r="E364" s="3">
        <v>44751</v>
      </c>
      <c r="F364" s="3" t="str">
        <f t="shared" si="10"/>
        <v>09-Jul</v>
      </c>
      <c r="G364" s="3" t="str">
        <f t="shared" si="11"/>
        <v>Saturday</v>
      </c>
      <c r="H364" t="s">
        <v>18</v>
      </c>
      <c r="I364" t="s">
        <v>19</v>
      </c>
      <c r="J364" t="s">
        <v>792</v>
      </c>
      <c r="K364" t="s">
        <v>21</v>
      </c>
      <c r="L364">
        <v>7</v>
      </c>
    </row>
    <row r="365" spans="1:12">
      <c r="A365">
        <v>364</v>
      </c>
      <c r="B365" t="s">
        <v>793</v>
      </c>
      <c r="C365" t="s">
        <v>785</v>
      </c>
      <c r="D365" t="s">
        <v>87</v>
      </c>
      <c r="E365" s="3">
        <v>44736</v>
      </c>
      <c r="F365" s="3" t="str">
        <f t="shared" si="10"/>
        <v>24-Jun</v>
      </c>
      <c r="G365" s="3" t="str">
        <f t="shared" si="11"/>
        <v>Friday</v>
      </c>
      <c r="H365" t="s">
        <v>24</v>
      </c>
      <c r="I365" t="s">
        <v>19</v>
      </c>
      <c r="J365" t="s">
        <v>794</v>
      </c>
      <c r="K365" t="s">
        <v>26</v>
      </c>
      <c r="L365">
        <v>7</v>
      </c>
    </row>
    <row r="366" spans="1:12">
      <c r="A366">
        <v>365</v>
      </c>
      <c r="B366" t="s">
        <v>795</v>
      </c>
      <c r="C366" t="s">
        <v>787</v>
      </c>
      <c r="D366" t="s">
        <v>90</v>
      </c>
      <c r="E366" s="3">
        <v>44737</v>
      </c>
      <c r="F366" s="3" t="str">
        <f t="shared" si="10"/>
        <v>25-Jun</v>
      </c>
      <c r="G366" s="3" t="str">
        <f t="shared" si="11"/>
        <v>Saturday</v>
      </c>
      <c r="H366" t="s">
        <v>24</v>
      </c>
      <c r="I366" t="s">
        <v>19</v>
      </c>
      <c r="J366" t="s">
        <v>796</v>
      </c>
      <c r="K366" t="s">
        <v>32</v>
      </c>
      <c r="L366">
        <v>9</v>
      </c>
    </row>
    <row r="367" spans="1:12">
      <c r="A367">
        <v>366</v>
      </c>
      <c r="B367" t="s">
        <v>797</v>
      </c>
      <c r="C367" t="s">
        <v>789</v>
      </c>
      <c r="D367" t="s">
        <v>54</v>
      </c>
      <c r="E367" s="3">
        <v>44744</v>
      </c>
      <c r="F367" s="3" t="str">
        <f t="shared" si="10"/>
        <v>02-Jul</v>
      </c>
      <c r="G367" s="3" t="str">
        <f t="shared" si="11"/>
        <v>Saturday</v>
      </c>
      <c r="H367" t="s">
        <v>18</v>
      </c>
      <c r="I367" t="s">
        <v>19</v>
      </c>
      <c r="J367" t="s">
        <v>798</v>
      </c>
      <c r="K367" t="s">
        <v>21</v>
      </c>
      <c r="L367">
        <v>8</v>
      </c>
    </row>
    <row r="368" spans="1:12">
      <c r="A368">
        <v>367</v>
      </c>
      <c r="B368" t="s">
        <v>799</v>
      </c>
      <c r="C368" t="s">
        <v>791</v>
      </c>
      <c r="D368" t="s">
        <v>96</v>
      </c>
      <c r="E368" s="3">
        <v>44735</v>
      </c>
      <c r="F368" s="3" t="str">
        <f t="shared" si="10"/>
        <v>23-Jun</v>
      </c>
      <c r="G368" s="3" t="str">
        <f t="shared" si="11"/>
        <v>Thursday</v>
      </c>
      <c r="H368" t="s">
        <v>24</v>
      </c>
      <c r="I368" t="s">
        <v>30</v>
      </c>
      <c r="J368" t="s">
        <v>800</v>
      </c>
      <c r="K368" t="s">
        <v>26</v>
      </c>
      <c r="L368">
        <v>8</v>
      </c>
    </row>
    <row r="369" spans="1:12">
      <c r="A369">
        <v>368</v>
      </c>
      <c r="B369" t="s">
        <v>801</v>
      </c>
      <c r="C369" t="s">
        <v>793</v>
      </c>
      <c r="D369" t="s">
        <v>99</v>
      </c>
      <c r="E369" s="3">
        <v>44751</v>
      </c>
      <c r="F369" s="3" t="str">
        <f t="shared" si="10"/>
        <v>09-Jul</v>
      </c>
      <c r="G369" s="3" t="str">
        <f t="shared" si="11"/>
        <v>Saturday</v>
      </c>
      <c r="H369" t="s">
        <v>24</v>
      </c>
      <c r="I369" t="s">
        <v>19</v>
      </c>
      <c r="J369" t="s">
        <v>802</v>
      </c>
      <c r="K369" t="s">
        <v>32</v>
      </c>
      <c r="L369">
        <v>7</v>
      </c>
    </row>
    <row r="370" spans="1:12">
      <c r="A370">
        <v>369</v>
      </c>
      <c r="B370" t="s">
        <v>803</v>
      </c>
      <c r="C370" t="s">
        <v>795</v>
      </c>
      <c r="D370" t="s">
        <v>103</v>
      </c>
      <c r="E370" s="3">
        <v>44726</v>
      </c>
      <c r="F370" s="3" t="str">
        <f t="shared" si="10"/>
        <v>14-Jun</v>
      </c>
      <c r="G370" s="3" t="str">
        <f t="shared" si="11"/>
        <v>Tuesday</v>
      </c>
      <c r="H370" t="s">
        <v>18</v>
      </c>
      <c r="I370" t="s">
        <v>19</v>
      </c>
      <c r="J370" t="s">
        <v>804</v>
      </c>
      <c r="K370" t="s">
        <v>21</v>
      </c>
      <c r="L370">
        <v>8</v>
      </c>
    </row>
    <row r="371" spans="1:12">
      <c r="A371">
        <v>370</v>
      </c>
      <c r="B371" t="s">
        <v>805</v>
      </c>
      <c r="C371" t="s">
        <v>797</v>
      </c>
      <c r="D371" t="s">
        <v>106</v>
      </c>
      <c r="E371" s="3">
        <v>44749</v>
      </c>
      <c r="F371" s="3" t="str">
        <f t="shared" si="10"/>
        <v>07-Jul</v>
      </c>
      <c r="G371" s="3" t="str">
        <f t="shared" si="11"/>
        <v>Thursday</v>
      </c>
      <c r="H371" t="s">
        <v>24</v>
      </c>
      <c r="I371" t="s">
        <v>19</v>
      </c>
      <c r="J371" t="s">
        <v>806</v>
      </c>
      <c r="K371" t="s">
        <v>26</v>
      </c>
      <c r="L371">
        <v>8</v>
      </c>
    </row>
    <row r="372" spans="1:12">
      <c r="A372">
        <v>371</v>
      </c>
      <c r="B372" t="s">
        <v>807</v>
      </c>
      <c r="C372" t="s">
        <v>799</v>
      </c>
      <c r="D372" t="s">
        <v>109</v>
      </c>
      <c r="E372" s="3">
        <v>44734</v>
      </c>
      <c r="F372" s="3" t="str">
        <f t="shared" si="10"/>
        <v>22-Jun</v>
      </c>
      <c r="G372" s="3" t="str">
        <f t="shared" si="11"/>
        <v>Wednesday</v>
      </c>
      <c r="H372" t="s">
        <v>18</v>
      </c>
      <c r="I372" t="s">
        <v>19</v>
      </c>
      <c r="J372" t="s">
        <v>808</v>
      </c>
      <c r="K372" t="s">
        <v>32</v>
      </c>
      <c r="L372">
        <v>9</v>
      </c>
    </row>
    <row r="373" spans="1:12">
      <c r="A373">
        <v>372</v>
      </c>
      <c r="B373" t="s">
        <v>809</v>
      </c>
      <c r="C373" t="s">
        <v>801</v>
      </c>
      <c r="D373" t="s">
        <v>112</v>
      </c>
      <c r="E373" s="3">
        <v>44726</v>
      </c>
      <c r="F373" s="3" t="str">
        <f t="shared" si="10"/>
        <v>14-Jun</v>
      </c>
      <c r="G373" s="3" t="str">
        <f t="shared" si="11"/>
        <v>Tuesday</v>
      </c>
      <c r="H373" t="s">
        <v>24</v>
      </c>
      <c r="I373" t="s">
        <v>19</v>
      </c>
      <c r="J373" t="s">
        <v>810</v>
      </c>
      <c r="K373" t="s">
        <v>21</v>
      </c>
      <c r="L373">
        <v>9</v>
      </c>
    </row>
    <row r="374" spans="1:12">
      <c r="A374">
        <v>373</v>
      </c>
      <c r="B374" t="s">
        <v>811</v>
      </c>
      <c r="C374" t="s">
        <v>803</v>
      </c>
      <c r="D374" t="s">
        <v>17</v>
      </c>
      <c r="E374" s="3">
        <v>44743</v>
      </c>
      <c r="F374" s="3" t="str">
        <f t="shared" si="10"/>
        <v>01-Jul</v>
      </c>
      <c r="G374" s="3" t="str">
        <f t="shared" si="11"/>
        <v>Friday</v>
      </c>
      <c r="H374" t="s">
        <v>18</v>
      </c>
      <c r="I374" t="s">
        <v>30</v>
      </c>
      <c r="J374" t="s">
        <v>812</v>
      </c>
      <c r="K374" t="s">
        <v>26</v>
      </c>
      <c r="L374">
        <v>8</v>
      </c>
    </row>
    <row r="375" spans="1:12">
      <c r="A375">
        <v>374</v>
      </c>
      <c r="B375" t="s">
        <v>813</v>
      </c>
      <c r="C375" t="s">
        <v>805</v>
      </c>
      <c r="D375" t="s">
        <v>23</v>
      </c>
      <c r="E375" s="3">
        <v>44742</v>
      </c>
      <c r="F375" s="3" t="str">
        <f t="shared" si="10"/>
        <v>30-Jun</v>
      </c>
      <c r="G375" s="3" t="str">
        <f t="shared" si="11"/>
        <v>Thursday</v>
      </c>
      <c r="H375" t="s">
        <v>24</v>
      </c>
      <c r="I375" t="s">
        <v>19</v>
      </c>
      <c r="J375" t="s">
        <v>814</v>
      </c>
      <c r="K375" t="s">
        <v>32</v>
      </c>
      <c r="L375">
        <v>8</v>
      </c>
    </row>
    <row r="376" spans="1:12">
      <c r="A376">
        <v>375</v>
      </c>
      <c r="B376" t="s">
        <v>815</v>
      </c>
      <c r="C376" t="s">
        <v>807</v>
      </c>
      <c r="D376" t="s">
        <v>28</v>
      </c>
      <c r="E376" s="3">
        <v>44747</v>
      </c>
      <c r="F376" s="3" t="str">
        <f t="shared" si="10"/>
        <v>05-Jul</v>
      </c>
      <c r="G376" s="3" t="str">
        <f t="shared" si="11"/>
        <v>Tuesday</v>
      </c>
      <c r="H376" t="s">
        <v>29</v>
      </c>
      <c r="I376" t="s">
        <v>19</v>
      </c>
      <c r="J376" t="s">
        <v>816</v>
      </c>
      <c r="K376" t="s">
        <v>21</v>
      </c>
      <c r="L376">
        <v>7</v>
      </c>
    </row>
    <row r="377" spans="1:12">
      <c r="A377">
        <v>376</v>
      </c>
      <c r="B377" t="s">
        <v>817</v>
      </c>
      <c r="C377" t="s">
        <v>809</v>
      </c>
      <c r="D377" t="s">
        <v>34</v>
      </c>
      <c r="E377" s="3">
        <v>44764</v>
      </c>
      <c r="F377" s="3" t="str">
        <f t="shared" si="10"/>
        <v>22-Jul</v>
      </c>
      <c r="G377" s="3" t="str">
        <f t="shared" si="11"/>
        <v>Friday</v>
      </c>
      <c r="H377" t="s">
        <v>18</v>
      </c>
      <c r="I377" t="s">
        <v>19</v>
      </c>
      <c r="J377" t="s">
        <v>818</v>
      </c>
      <c r="K377" t="s">
        <v>26</v>
      </c>
      <c r="L377">
        <v>8</v>
      </c>
    </row>
    <row r="378" spans="1:12">
      <c r="A378">
        <v>377</v>
      </c>
      <c r="B378" t="s">
        <v>819</v>
      </c>
      <c r="C378" t="s">
        <v>811</v>
      </c>
      <c r="D378" t="s">
        <v>37</v>
      </c>
      <c r="E378" s="3">
        <v>44735</v>
      </c>
      <c r="F378" s="3" t="str">
        <f t="shared" si="10"/>
        <v>23-Jun</v>
      </c>
      <c r="G378" s="3" t="str">
        <f t="shared" si="11"/>
        <v>Thursday</v>
      </c>
      <c r="H378" t="s">
        <v>24</v>
      </c>
      <c r="I378" t="s">
        <v>19</v>
      </c>
      <c r="J378" t="s">
        <v>820</v>
      </c>
      <c r="K378" t="s">
        <v>32</v>
      </c>
      <c r="L378">
        <v>9</v>
      </c>
    </row>
    <row r="379" spans="1:12">
      <c r="A379">
        <v>378</v>
      </c>
      <c r="B379" t="s">
        <v>821</v>
      </c>
      <c r="C379" t="s">
        <v>813</v>
      </c>
      <c r="D379" t="s">
        <v>40</v>
      </c>
      <c r="E379" s="3">
        <v>44737</v>
      </c>
      <c r="F379" s="3" t="str">
        <f t="shared" si="10"/>
        <v>25-Jun</v>
      </c>
      <c r="G379" s="3" t="str">
        <f t="shared" si="11"/>
        <v>Saturday</v>
      </c>
      <c r="H379" t="s">
        <v>24</v>
      </c>
      <c r="I379" t="s">
        <v>19</v>
      </c>
      <c r="J379" t="s">
        <v>822</v>
      </c>
      <c r="K379" t="s">
        <v>21</v>
      </c>
      <c r="L379">
        <v>7</v>
      </c>
    </row>
    <row r="380" spans="1:12">
      <c r="A380">
        <v>379</v>
      </c>
      <c r="B380" t="s">
        <v>823</v>
      </c>
      <c r="C380" t="s">
        <v>815</v>
      </c>
      <c r="D380" t="s">
        <v>43</v>
      </c>
      <c r="E380" s="3">
        <v>44749</v>
      </c>
      <c r="F380" s="3" t="str">
        <f t="shared" si="10"/>
        <v>07-Jul</v>
      </c>
      <c r="G380" s="3" t="str">
        <f t="shared" si="11"/>
        <v>Thursday</v>
      </c>
      <c r="H380" t="s">
        <v>18</v>
      </c>
      <c r="I380" t="s">
        <v>19</v>
      </c>
      <c r="J380" t="s">
        <v>824</v>
      </c>
      <c r="K380" t="s">
        <v>26</v>
      </c>
      <c r="L380">
        <v>8</v>
      </c>
    </row>
    <row r="381" spans="1:12">
      <c r="A381">
        <v>380</v>
      </c>
      <c r="B381" t="s">
        <v>825</v>
      </c>
      <c r="C381" t="s">
        <v>817</v>
      </c>
      <c r="D381" t="s">
        <v>43</v>
      </c>
      <c r="E381" s="3">
        <v>44729</v>
      </c>
      <c r="F381" s="3" t="str">
        <f t="shared" si="10"/>
        <v>17-Jun</v>
      </c>
      <c r="G381" s="3" t="str">
        <f t="shared" si="11"/>
        <v>Friday</v>
      </c>
      <c r="H381" t="s">
        <v>24</v>
      </c>
      <c r="I381" t="s">
        <v>19</v>
      </c>
      <c r="J381" t="s">
        <v>826</v>
      </c>
      <c r="K381" t="s">
        <v>32</v>
      </c>
      <c r="L381">
        <v>9</v>
      </c>
    </row>
    <row r="382" spans="1:12">
      <c r="A382">
        <v>381</v>
      </c>
      <c r="B382" t="s">
        <v>827</v>
      </c>
      <c r="C382" t="s">
        <v>819</v>
      </c>
      <c r="D382" t="s">
        <v>49</v>
      </c>
      <c r="E382" s="3">
        <v>44738</v>
      </c>
      <c r="F382" s="3" t="str">
        <f t="shared" si="10"/>
        <v>26-Jun</v>
      </c>
      <c r="G382" s="3" t="str">
        <f t="shared" si="11"/>
        <v>Sunday</v>
      </c>
      <c r="H382" t="s">
        <v>18</v>
      </c>
      <c r="I382" t="s">
        <v>19</v>
      </c>
      <c r="J382" t="s">
        <v>828</v>
      </c>
      <c r="K382" t="s">
        <v>21</v>
      </c>
      <c r="L382">
        <v>8</v>
      </c>
    </row>
    <row r="383" spans="1:12">
      <c r="A383">
        <v>382</v>
      </c>
      <c r="B383" t="s">
        <v>829</v>
      </c>
      <c r="C383" t="s">
        <v>821</v>
      </c>
      <c r="D383" t="s">
        <v>40</v>
      </c>
      <c r="E383" s="3">
        <v>44740</v>
      </c>
      <c r="F383" s="3" t="str">
        <f t="shared" si="10"/>
        <v>28-Jun</v>
      </c>
      <c r="G383" s="3" t="str">
        <f t="shared" si="11"/>
        <v>Tuesday</v>
      </c>
      <c r="H383" t="s">
        <v>24</v>
      </c>
      <c r="I383" t="s">
        <v>19</v>
      </c>
      <c r="J383" t="s">
        <v>830</v>
      </c>
      <c r="K383" t="s">
        <v>26</v>
      </c>
      <c r="L383">
        <v>7</v>
      </c>
    </row>
    <row r="384" spans="1:12">
      <c r="A384">
        <v>383</v>
      </c>
      <c r="B384" t="s">
        <v>831</v>
      </c>
      <c r="C384" t="s">
        <v>823</v>
      </c>
      <c r="D384" t="s">
        <v>54</v>
      </c>
      <c r="E384" s="3">
        <v>44755</v>
      </c>
      <c r="F384" s="3" t="str">
        <f t="shared" si="10"/>
        <v>13-Jul</v>
      </c>
      <c r="G384" s="3" t="str">
        <f t="shared" si="11"/>
        <v>Wednesday</v>
      </c>
      <c r="H384" t="s">
        <v>24</v>
      </c>
      <c r="I384" t="s">
        <v>19</v>
      </c>
      <c r="J384" t="s">
        <v>832</v>
      </c>
      <c r="K384" t="s">
        <v>32</v>
      </c>
      <c r="L384">
        <v>10</v>
      </c>
    </row>
    <row r="385" spans="1:12">
      <c r="A385">
        <v>384</v>
      </c>
      <c r="B385" t="s">
        <v>833</v>
      </c>
      <c r="C385" t="s">
        <v>825</v>
      </c>
      <c r="D385" t="s">
        <v>57</v>
      </c>
      <c r="E385" s="3">
        <v>44755</v>
      </c>
      <c r="F385" s="3" t="str">
        <f t="shared" si="10"/>
        <v>13-Jul</v>
      </c>
      <c r="G385" s="3" t="str">
        <f t="shared" si="11"/>
        <v>Wednesday</v>
      </c>
      <c r="H385" t="s">
        <v>18</v>
      </c>
      <c r="I385" t="s">
        <v>19</v>
      </c>
      <c r="J385" t="s">
        <v>834</v>
      </c>
      <c r="K385" t="s">
        <v>21</v>
      </c>
      <c r="L385">
        <v>7</v>
      </c>
    </row>
    <row r="386" spans="1:12">
      <c r="A386">
        <v>385</v>
      </c>
      <c r="B386" t="s">
        <v>835</v>
      </c>
      <c r="C386" t="s">
        <v>827</v>
      </c>
      <c r="D386" t="s">
        <v>60</v>
      </c>
      <c r="E386" s="3">
        <v>44764</v>
      </c>
      <c r="F386" s="3" t="str">
        <f t="shared" ref="F386:F449" si="12">TEXT(E386,"dd-mmm")</f>
        <v>22-Jul</v>
      </c>
      <c r="G386" s="3" t="str">
        <f t="shared" ref="G386:G449" si="13">TEXT(E386,"dddd")</f>
        <v>Friday</v>
      </c>
      <c r="H386" t="s">
        <v>24</v>
      </c>
      <c r="I386" t="s">
        <v>19</v>
      </c>
      <c r="J386" t="s">
        <v>836</v>
      </c>
      <c r="K386" t="s">
        <v>26</v>
      </c>
      <c r="L386">
        <v>8</v>
      </c>
    </row>
    <row r="387" spans="1:12">
      <c r="A387">
        <v>386</v>
      </c>
      <c r="B387" t="s">
        <v>837</v>
      </c>
      <c r="C387" t="s">
        <v>829</v>
      </c>
      <c r="D387" t="s">
        <v>63</v>
      </c>
      <c r="E387" s="3">
        <v>44735</v>
      </c>
      <c r="F387" s="3" t="str">
        <f t="shared" si="12"/>
        <v>23-Jun</v>
      </c>
      <c r="G387" s="3" t="str">
        <f t="shared" si="13"/>
        <v>Thursday</v>
      </c>
      <c r="H387" t="s">
        <v>24</v>
      </c>
      <c r="I387" t="s">
        <v>19</v>
      </c>
      <c r="J387" t="s">
        <v>838</v>
      </c>
      <c r="K387" t="s">
        <v>32</v>
      </c>
      <c r="L387">
        <v>7</v>
      </c>
    </row>
    <row r="388" spans="1:12">
      <c r="A388">
        <v>387</v>
      </c>
      <c r="B388" t="s">
        <v>839</v>
      </c>
      <c r="C388" t="s">
        <v>831</v>
      </c>
      <c r="D388" t="s">
        <v>40</v>
      </c>
      <c r="E388" s="3">
        <v>44734</v>
      </c>
      <c r="F388" s="3" t="str">
        <f t="shared" si="12"/>
        <v>22-Jun</v>
      </c>
      <c r="G388" s="3" t="str">
        <f t="shared" si="13"/>
        <v>Wednesday</v>
      </c>
      <c r="H388" t="s">
        <v>18</v>
      </c>
      <c r="I388" t="s">
        <v>19</v>
      </c>
      <c r="J388" t="s">
        <v>840</v>
      </c>
      <c r="K388" t="s">
        <v>21</v>
      </c>
      <c r="L388">
        <v>9</v>
      </c>
    </row>
    <row r="389" spans="1:12">
      <c r="A389">
        <v>388</v>
      </c>
      <c r="B389" t="s">
        <v>841</v>
      </c>
      <c r="C389" t="s">
        <v>833</v>
      </c>
      <c r="D389" t="s">
        <v>68</v>
      </c>
      <c r="E389" s="3">
        <v>44728</v>
      </c>
      <c r="F389" s="3" t="str">
        <f t="shared" si="12"/>
        <v>16-Jun</v>
      </c>
      <c r="G389" s="3" t="str">
        <f t="shared" si="13"/>
        <v>Thursday</v>
      </c>
      <c r="H389" t="s">
        <v>24</v>
      </c>
      <c r="I389" t="s">
        <v>19</v>
      </c>
      <c r="J389" t="s">
        <v>842</v>
      </c>
      <c r="K389" t="s">
        <v>26</v>
      </c>
      <c r="L389">
        <v>8</v>
      </c>
    </row>
    <row r="390" spans="1:12">
      <c r="A390">
        <v>389</v>
      </c>
      <c r="B390" t="s">
        <v>843</v>
      </c>
      <c r="C390" t="s">
        <v>835</v>
      </c>
      <c r="D390" t="s">
        <v>57</v>
      </c>
      <c r="E390" s="3">
        <v>44739</v>
      </c>
      <c r="F390" s="3" t="str">
        <f t="shared" si="12"/>
        <v>27-Jun</v>
      </c>
      <c r="G390" s="3" t="str">
        <f t="shared" si="13"/>
        <v>Monday</v>
      </c>
      <c r="H390" t="s">
        <v>18</v>
      </c>
      <c r="I390" t="s">
        <v>19</v>
      </c>
      <c r="J390" t="s">
        <v>844</v>
      </c>
      <c r="K390" t="s">
        <v>32</v>
      </c>
      <c r="L390">
        <v>9</v>
      </c>
    </row>
    <row r="391" spans="1:12">
      <c r="A391">
        <v>390</v>
      </c>
      <c r="B391" t="s">
        <v>845</v>
      </c>
      <c r="C391" t="s">
        <v>837</v>
      </c>
      <c r="D391" t="s">
        <v>37</v>
      </c>
      <c r="E391" s="3">
        <v>44765</v>
      </c>
      <c r="F391" s="3" t="str">
        <f t="shared" si="12"/>
        <v>23-Jul</v>
      </c>
      <c r="G391" s="3" t="str">
        <f t="shared" si="13"/>
        <v>Saturday</v>
      </c>
      <c r="H391" t="s">
        <v>24</v>
      </c>
      <c r="I391" t="s">
        <v>19</v>
      </c>
      <c r="J391" t="s">
        <v>846</v>
      </c>
      <c r="K391" t="s">
        <v>21</v>
      </c>
      <c r="L391">
        <v>9</v>
      </c>
    </row>
    <row r="392" spans="1:12">
      <c r="A392">
        <v>391</v>
      </c>
      <c r="B392" t="s">
        <v>847</v>
      </c>
      <c r="C392" t="s">
        <v>839</v>
      </c>
      <c r="D392" t="s">
        <v>75</v>
      </c>
      <c r="E392" s="3">
        <v>44740</v>
      </c>
      <c r="F392" s="3" t="str">
        <f t="shared" si="12"/>
        <v>28-Jun</v>
      </c>
      <c r="G392" s="3" t="str">
        <f t="shared" si="13"/>
        <v>Tuesday</v>
      </c>
      <c r="H392" t="s">
        <v>18</v>
      </c>
      <c r="I392" t="s">
        <v>19</v>
      </c>
      <c r="J392" t="s">
        <v>848</v>
      </c>
      <c r="K392" t="s">
        <v>26</v>
      </c>
      <c r="L392">
        <v>9</v>
      </c>
    </row>
    <row r="393" spans="1:12">
      <c r="A393">
        <v>392</v>
      </c>
      <c r="B393" t="s">
        <v>849</v>
      </c>
      <c r="C393" t="s">
        <v>841</v>
      </c>
      <c r="D393" t="s">
        <v>78</v>
      </c>
      <c r="E393" s="3">
        <v>44734</v>
      </c>
      <c r="F393" s="3" t="str">
        <f t="shared" si="12"/>
        <v>22-Jun</v>
      </c>
      <c r="G393" s="3" t="str">
        <f t="shared" si="13"/>
        <v>Wednesday</v>
      </c>
      <c r="H393" t="s">
        <v>24</v>
      </c>
      <c r="I393" t="s">
        <v>19</v>
      </c>
      <c r="J393" t="s">
        <v>850</v>
      </c>
      <c r="K393" t="s">
        <v>32</v>
      </c>
      <c r="L393">
        <v>9</v>
      </c>
    </row>
    <row r="394" spans="1:12">
      <c r="A394">
        <v>393</v>
      </c>
      <c r="B394" t="s">
        <v>851</v>
      </c>
      <c r="C394" t="s">
        <v>843</v>
      </c>
      <c r="D394" t="s">
        <v>81</v>
      </c>
      <c r="E394" s="3">
        <v>44727</v>
      </c>
      <c r="F394" s="3" t="str">
        <f t="shared" si="12"/>
        <v>15-Jun</v>
      </c>
      <c r="G394" s="3" t="str">
        <f t="shared" si="13"/>
        <v>Wednesday</v>
      </c>
      <c r="H394" t="s">
        <v>29</v>
      </c>
      <c r="I394" t="s">
        <v>19</v>
      </c>
      <c r="J394" t="s">
        <v>852</v>
      </c>
      <c r="K394" t="s">
        <v>21</v>
      </c>
      <c r="L394">
        <v>9</v>
      </c>
    </row>
    <row r="395" spans="1:12">
      <c r="A395">
        <v>394</v>
      </c>
      <c r="B395" t="s">
        <v>853</v>
      </c>
      <c r="C395" t="s">
        <v>845</v>
      </c>
      <c r="D395" t="s">
        <v>54</v>
      </c>
      <c r="E395" s="3">
        <v>44737</v>
      </c>
      <c r="F395" s="3" t="str">
        <f t="shared" si="12"/>
        <v>25-Jun</v>
      </c>
      <c r="G395" s="3" t="str">
        <f t="shared" si="13"/>
        <v>Saturday</v>
      </c>
      <c r="H395" t="s">
        <v>18</v>
      </c>
      <c r="I395" t="s">
        <v>19</v>
      </c>
      <c r="J395" t="s">
        <v>854</v>
      </c>
      <c r="K395" t="s">
        <v>26</v>
      </c>
      <c r="L395">
        <v>8</v>
      </c>
    </row>
    <row r="396" spans="1:12">
      <c r="A396">
        <v>395</v>
      </c>
      <c r="B396" t="s">
        <v>855</v>
      </c>
      <c r="C396" t="s">
        <v>847</v>
      </c>
      <c r="D396" t="s">
        <v>87</v>
      </c>
      <c r="E396" s="3">
        <v>44747</v>
      </c>
      <c r="F396" s="3" t="str">
        <f t="shared" si="12"/>
        <v>05-Jul</v>
      </c>
      <c r="G396" s="3" t="str">
        <f t="shared" si="13"/>
        <v>Tuesday</v>
      </c>
      <c r="H396" t="s">
        <v>24</v>
      </c>
      <c r="I396" t="s">
        <v>30</v>
      </c>
      <c r="J396" t="s">
        <v>856</v>
      </c>
      <c r="K396" t="s">
        <v>32</v>
      </c>
      <c r="L396">
        <v>8</v>
      </c>
    </row>
    <row r="397" spans="1:12">
      <c r="A397">
        <v>396</v>
      </c>
      <c r="B397" t="s">
        <v>857</v>
      </c>
      <c r="C397" t="s">
        <v>849</v>
      </c>
      <c r="D397" t="s">
        <v>90</v>
      </c>
      <c r="E397" s="3">
        <v>44754</v>
      </c>
      <c r="F397" s="3" t="str">
        <f t="shared" si="12"/>
        <v>12-Jul</v>
      </c>
      <c r="G397" s="3" t="str">
        <f t="shared" si="13"/>
        <v>Tuesday</v>
      </c>
      <c r="H397" t="s">
        <v>24</v>
      </c>
      <c r="I397" t="s">
        <v>19</v>
      </c>
      <c r="J397" t="s">
        <v>858</v>
      </c>
      <c r="K397" t="s">
        <v>21</v>
      </c>
      <c r="L397">
        <v>7</v>
      </c>
    </row>
    <row r="398" spans="1:12">
      <c r="A398">
        <v>397</v>
      </c>
      <c r="B398" t="s">
        <v>859</v>
      </c>
      <c r="C398" t="s">
        <v>851</v>
      </c>
      <c r="D398" t="s">
        <v>93</v>
      </c>
      <c r="E398" s="3">
        <v>44760</v>
      </c>
      <c r="F398" s="3" t="str">
        <f t="shared" si="12"/>
        <v>18-Jul</v>
      </c>
      <c r="G398" s="3" t="str">
        <f t="shared" si="13"/>
        <v>Monday</v>
      </c>
      <c r="H398" t="s">
        <v>18</v>
      </c>
      <c r="I398" t="s">
        <v>19</v>
      </c>
      <c r="J398" t="s">
        <v>860</v>
      </c>
      <c r="K398" t="s">
        <v>26</v>
      </c>
      <c r="L398">
        <v>7</v>
      </c>
    </row>
    <row r="399" spans="1:12">
      <c r="A399">
        <v>398</v>
      </c>
      <c r="B399" t="s">
        <v>861</v>
      </c>
      <c r="C399" t="s">
        <v>853</v>
      </c>
      <c r="D399" t="s">
        <v>96</v>
      </c>
      <c r="E399" s="3">
        <v>44759</v>
      </c>
      <c r="F399" s="3" t="str">
        <f t="shared" si="12"/>
        <v>17-Jul</v>
      </c>
      <c r="G399" s="3" t="str">
        <f t="shared" si="13"/>
        <v>Sunday</v>
      </c>
      <c r="H399" t="s">
        <v>24</v>
      </c>
      <c r="I399" t="s">
        <v>19</v>
      </c>
      <c r="J399" t="s">
        <v>862</v>
      </c>
      <c r="K399" t="s">
        <v>32</v>
      </c>
      <c r="L399">
        <v>9</v>
      </c>
    </row>
    <row r="400" spans="1:12">
      <c r="A400">
        <v>399</v>
      </c>
      <c r="B400" t="s">
        <v>863</v>
      </c>
      <c r="C400" t="s">
        <v>855</v>
      </c>
      <c r="D400" t="s">
        <v>99</v>
      </c>
      <c r="E400" s="3">
        <v>44735</v>
      </c>
      <c r="F400" s="3" t="str">
        <f t="shared" si="12"/>
        <v>23-Jun</v>
      </c>
      <c r="G400" s="3" t="str">
        <f t="shared" si="13"/>
        <v>Thursday</v>
      </c>
      <c r="H400" t="s">
        <v>18</v>
      </c>
      <c r="I400" t="s">
        <v>19</v>
      </c>
      <c r="J400" t="s">
        <v>864</v>
      </c>
      <c r="K400" t="s">
        <v>21</v>
      </c>
      <c r="L400">
        <v>8</v>
      </c>
    </row>
    <row r="401" spans="1:12">
      <c r="A401">
        <v>400</v>
      </c>
      <c r="B401" t="s">
        <v>865</v>
      </c>
      <c r="C401" t="s">
        <v>857</v>
      </c>
      <c r="D401" t="s">
        <v>103</v>
      </c>
      <c r="E401" s="3">
        <v>44734</v>
      </c>
      <c r="F401" s="3" t="str">
        <f t="shared" si="12"/>
        <v>22-Jun</v>
      </c>
      <c r="G401" s="3" t="str">
        <f t="shared" si="13"/>
        <v>Wednesday</v>
      </c>
      <c r="H401" t="s">
        <v>24</v>
      </c>
      <c r="I401" t="s">
        <v>19</v>
      </c>
      <c r="J401" t="s">
        <v>866</v>
      </c>
      <c r="K401" t="s">
        <v>21</v>
      </c>
      <c r="L401">
        <v>8</v>
      </c>
    </row>
    <row r="402" spans="1:12">
      <c r="A402">
        <v>401</v>
      </c>
      <c r="B402" t="s">
        <v>867</v>
      </c>
      <c r="C402" t="s">
        <v>859</v>
      </c>
      <c r="D402" t="s">
        <v>106</v>
      </c>
      <c r="E402" s="3">
        <v>44753</v>
      </c>
      <c r="F402" s="3" t="str">
        <f t="shared" si="12"/>
        <v>11-Jul</v>
      </c>
      <c r="G402" s="3" t="str">
        <f t="shared" si="13"/>
        <v>Monday</v>
      </c>
      <c r="H402" t="s">
        <v>24</v>
      </c>
      <c r="I402" t="s">
        <v>30</v>
      </c>
      <c r="J402" t="s">
        <v>868</v>
      </c>
      <c r="K402" t="s">
        <v>21</v>
      </c>
      <c r="L402">
        <v>10</v>
      </c>
    </row>
    <row r="403" spans="1:12">
      <c r="A403">
        <v>402</v>
      </c>
      <c r="B403" t="s">
        <v>869</v>
      </c>
      <c r="C403" t="s">
        <v>861</v>
      </c>
      <c r="D403" t="s">
        <v>109</v>
      </c>
      <c r="E403" s="3">
        <v>44739</v>
      </c>
      <c r="F403" s="3" t="str">
        <f t="shared" si="12"/>
        <v>27-Jun</v>
      </c>
      <c r="G403" s="3" t="str">
        <f t="shared" si="13"/>
        <v>Monday</v>
      </c>
      <c r="H403" t="s">
        <v>18</v>
      </c>
      <c r="I403" t="s">
        <v>19</v>
      </c>
      <c r="J403" t="s">
        <v>870</v>
      </c>
      <c r="K403" t="s">
        <v>26</v>
      </c>
      <c r="L403">
        <v>8</v>
      </c>
    </row>
    <row r="404" spans="1:12">
      <c r="A404">
        <v>403</v>
      </c>
      <c r="B404" t="s">
        <v>871</v>
      </c>
      <c r="C404" t="s">
        <v>863</v>
      </c>
      <c r="D404" t="s">
        <v>112</v>
      </c>
      <c r="E404" s="3">
        <v>44740</v>
      </c>
      <c r="F404" s="3" t="str">
        <f t="shared" si="12"/>
        <v>28-Jun</v>
      </c>
      <c r="G404" s="3" t="str">
        <f t="shared" si="13"/>
        <v>Tuesday</v>
      </c>
      <c r="H404" t="s">
        <v>24</v>
      </c>
      <c r="I404" t="s">
        <v>19</v>
      </c>
      <c r="J404" t="s">
        <v>872</v>
      </c>
      <c r="K404" t="s">
        <v>32</v>
      </c>
      <c r="L404">
        <v>8</v>
      </c>
    </row>
    <row r="405" spans="1:12">
      <c r="A405">
        <v>404</v>
      </c>
      <c r="B405" t="s">
        <v>873</v>
      </c>
      <c r="C405" t="s">
        <v>865</v>
      </c>
      <c r="D405" t="s">
        <v>115</v>
      </c>
      <c r="E405" s="3">
        <v>44748</v>
      </c>
      <c r="F405" s="3" t="str">
        <f t="shared" si="12"/>
        <v>06-Jul</v>
      </c>
      <c r="G405" s="3" t="str">
        <f t="shared" si="13"/>
        <v>Wednesday</v>
      </c>
      <c r="H405" t="s">
        <v>24</v>
      </c>
      <c r="I405" t="s">
        <v>19</v>
      </c>
      <c r="J405" t="s">
        <v>874</v>
      </c>
      <c r="K405" t="s">
        <v>21</v>
      </c>
      <c r="L405">
        <v>8</v>
      </c>
    </row>
    <row r="406" spans="1:12">
      <c r="A406">
        <v>405</v>
      </c>
      <c r="B406" t="s">
        <v>875</v>
      </c>
      <c r="C406" t="s">
        <v>867</v>
      </c>
      <c r="D406" t="s">
        <v>63</v>
      </c>
      <c r="E406" s="3">
        <v>44731</v>
      </c>
      <c r="F406" s="3" t="str">
        <f t="shared" si="12"/>
        <v>19-Jun</v>
      </c>
      <c r="G406" s="3" t="str">
        <f t="shared" si="13"/>
        <v>Sunday</v>
      </c>
      <c r="H406" t="s">
        <v>18</v>
      </c>
      <c r="I406" t="s">
        <v>19</v>
      </c>
      <c r="J406" t="s">
        <v>876</v>
      </c>
      <c r="K406" t="s">
        <v>26</v>
      </c>
      <c r="L406">
        <v>8</v>
      </c>
    </row>
    <row r="407" spans="1:12">
      <c r="A407">
        <v>406</v>
      </c>
      <c r="B407" t="s">
        <v>877</v>
      </c>
      <c r="C407" t="s">
        <v>869</v>
      </c>
      <c r="D407" t="s">
        <v>87</v>
      </c>
      <c r="E407" s="3">
        <v>44763</v>
      </c>
      <c r="F407" s="3" t="str">
        <f t="shared" si="12"/>
        <v>21-Jul</v>
      </c>
      <c r="G407" s="3" t="str">
        <f t="shared" si="13"/>
        <v>Thursday</v>
      </c>
      <c r="H407" t="s">
        <v>24</v>
      </c>
      <c r="I407" t="s">
        <v>19</v>
      </c>
      <c r="J407" t="s">
        <v>878</v>
      </c>
      <c r="K407" t="s">
        <v>32</v>
      </c>
      <c r="L407">
        <v>7</v>
      </c>
    </row>
    <row r="408" spans="1:12">
      <c r="A408">
        <v>407</v>
      </c>
      <c r="B408" t="s">
        <v>879</v>
      </c>
      <c r="C408" t="s">
        <v>871</v>
      </c>
      <c r="D408" t="s">
        <v>103</v>
      </c>
      <c r="E408" s="3">
        <v>44733</v>
      </c>
      <c r="F408" s="3" t="str">
        <f t="shared" si="12"/>
        <v>21-Jun</v>
      </c>
      <c r="G408" s="3" t="str">
        <f t="shared" si="13"/>
        <v>Tuesday</v>
      </c>
      <c r="H408" t="s">
        <v>18</v>
      </c>
      <c r="I408" t="s">
        <v>19</v>
      </c>
      <c r="J408" t="s">
        <v>880</v>
      </c>
      <c r="K408" t="s">
        <v>21</v>
      </c>
      <c r="L408">
        <v>7</v>
      </c>
    </row>
    <row r="409" spans="1:12">
      <c r="A409">
        <v>408</v>
      </c>
      <c r="B409" t="s">
        <v>881</v>
      </c>
      <c r="C409" t="s">
        <v>873</v>
      </c>
      <c r="D409" t="s">
        <v>37</v>
      </c>
      <c r="E409" s="3">
        <v>44746</v>
      </c>
      <c r="F409" s="3" t="str">
        <f t="shared" si="12"/>
        <v>04-Jul</v>
      </c>
      <c r="G409" s="3" t="str">
        <f t="shared" si="13"/>
        <v>Monday</v>
      </c>
      <c r="H409" t="s">
        <v>24</v>
      </c>
      <c r="I409" t="s">
        <v>19</v>
      </c>
      <c r="J409" t="s">
        <v>882</v>
      </c>
      <c r="K409" t="s">
        <v>26</v>
      </c>
      <c r="L409">
        <v>9</v>
      </c>
    </row>
    <row r="410" spans="1:12">
      <c r="A410">
        <v>409</v>
      </c>
      <c r="B410" t="s">
        <v>883</v>
      </c>
      <c r="C410" t="s">
        <v>875</v>
      </c>
      <c r="D410" t="s">
        <v>68</v>
      </c>
      <c r="E410" s="3">
        <v>44755</v>
      </c>
      <c r="F410" s="3" t="str">
        <f t="shared" si="12"/>
        <v>13-Jul</v>
      </c>
      <c r="G410" s="3" t="str">
        <f t="shared" si="13"/>
        <v>Wednesday</v>
      </c>
      <c r="H410" t="s">
        <v>18</v>
      </c>
      <c r="I410" t="s">
        <v>19</v>
      </c>
      <c r="J410" t="s">
        <v>884</v>
      </c>
      <c r="K410" t="s">
        <v>32</v>
      </c>
      <c r="L410">
        <v>7</v>
      </c>
    </row>
    <row r="411" spans="1:12">
      <c r="A411">
        <v>410</v>
      </c>
      <c r="B411" t="s">
        <v>885</v>
      </c>
      <c r="C411" t="s">
        <v>877</v>
      </c>
      <c r="D411" t="s">
        <v>109</v>
      </c>
      <c r="E411" s="3">
        <v>44755</v>
      </c>
      <c r="F411" s="3" t="str">
        <f t="shared" si="12"/>
        <v>13-Jul</v>
      </c>
      <c r="G411" s="3" t="str">
        <f t="shared" si="13"/>
        <v>Wednesday</v>
      </c>
      <c r="H411" t="s">
        <v>24</v>
      </c>
      <c r="I411" t="s">
        <v>19</v>
      </c>
      <c r="J411" t="s">
        <v>886</v>
      </c>
      <c r="K411" t="s">
        <v>21</v>
      </c>
      <c r="L411">
        <v>9</v>
      </c>
    </row>
    <row r="412" spans="1:12">
      <c r="A412">
        <v>411</v>
      </c>
      <c r="B412" t="s">
        <v>887</v>
      </c>
      <c r="C412" t="s">
        <v>879</v>
      </c>
      <c r="D412" t="s">
        <v>112</v>
      </c>
      <c r="E412" s="3">
        <v>44727</v>
      </c>
      <c r="F412" s="3" t="str">
        <f t="shared" si="12"/>
        <v>15-Jun</v>
      </c>
      <c r="G412" s="3" t="str">
        <f t="shared" si="13"/>
        <v>Wednesday</v>
      </c>
      <c r="H412" t="s">
        <v>29</v>
      </c>
      <c r="I412" t="s">
        <v>19</v>
      </c>
      <c r="J412" t="s">
        <v>888</v>
      </c>
      <c r="K412" t="s">
        <v>26</v>
      </c>
      <c r="L412">
        <v>10</v>
      </c>
    </row>
    <row r="413" spans="1:12">
      <c r="A413">
        <v>412</v>
      </c>
      <c r="B413" t="s">
        <v>889</v>
      </c>
      <c r="C413" t="s">
        <v>881</v>
      </c>
      <c r="D413" t="s">
        <v>134</v>
      </c>
      <c r="E413" s="3">
        <v>44746</v>
      </c>
      <c r="F413" s="3" t="str">
        <f t="shared" si="12"/>
        <v>04-Jul</v>
      </c>
      <c r="G413" s="3" t="str">
        <f t="shared" si="13"/>
        <v>Monday</v>
      </c>
      <c r="H413" t="s">
        <v>18</v>
      </c>
      <c r="I413" t="s">
        <v>19</v>
      </c>
      <c r="J413" t="s">
        <v>890</v>
      </c>
      <c r="K413" t="s">
        <v>32</v>
      </c>
      <c r="L413">
        <v>7</v>
      </c>
    </row>
    <row r="414" spans="1:12">
      <c r="A414">
        <v>413</v>
      </c>
      <c r="B414" t="s">
        <v>891</v>
      </c>
      <c r="C414" t="s">
        <v>883</v>
      </c>
      <c r="D414" t="s">
        <v>277</v>
      </c>
      <c r="E414" s="3">
        <v>44740</v>
      </c>
      <c r="F414" s="3" t="str">
        <f t="shared" si="12"/>
        <v>28-Jun</v>
      </c>
      <c r="G414" s="3" t="str">
        <f t="shared" si="13"/>
        <v>Tuesday</v>
      </c>
      <c r="H414" t="s">
        <v>24</v>
      </c>
      <c r="I414" t="s">
        <v>19</v>
      </c>
      <c r="J414" t="s">
        <v>892</v>
      </c>
      <c r="K414" t="s">
        <v>21</v>
      </c>
      <c r="L414">
        <v>10</v>
      </c>
    </row>
    <row r="415" spans="1:12">
      <c r="A415">
        <v>414</v>
      </c>
      <c r="B415" t="s">
        <v>893</v>
      </c>
      <c r="C415" t="s">
        <v>885</v>
      </c>
      <c r="D415" t="s">
        <v>139</v>
      </c>
      <c r="E415" s="3">
        <v>44743</v>
      </c>
      <c r="F415" s="3" t="str">
        <f t="shared" si="12"/>
        <v>01-Jul</v>
      </c>
      <c r="G415" s="3" t="str">
        <f t="shared" si="13"/>
        <v>Friday</v>
      </c>
      <c r="H415" t="s">
        <v>24</v>
      </c>
      <c r="I415" t="s">
        <v>19</v>
      </c>
      <c r="J415" t="s">
        <v>894</v>
      </c>
      <c r="K415" t="s">
        <v>26</v>
      </c>
      <c r="L415">
        <v>9</v>
      </c>
    </row>
    <row r="416" spans="1:12">
      <c r="A416">
        <v>415</v>
      </c>
      <c r="B416" t="s">
        <v>895</v>
      </c>
      <c r="C416" t="s">
        <v>887</v>
      </c>
      <c r="D416" t="s">
        <v>142</v>
      </c>
      <c r="E416" s="3">
        <v>44737</v>
      </c>
      <c r="F416" s="3" t="str">
        <f t="shared" si="12"/>
        <v>25-Jun</v>
      </c>
      <c r="G416" s="3" t="str">
        <f t="shared" si="13"/>
        <v>Saturday</v>
      </c>
      <c r="H416" t="s">
        <v>18</v>
      </c>
      <c r="I416" t="s">
        <v>19</v>
      </c>
      <c r="J416" t="s">
        <v>896</v>
      </c>
      <c r="K416" t="s">
        <v>32</v>
      </c>
      <c r="L416">
        <v>8</v>
      </c>
    </row>
    <row r="417" spans="1:12">
      <c r="A417">
        <v>416</v>
      </c>
      <c r="B417" t="s">
        <v>897</v>
      </c>
      <c r="C417" t="s">
        <v>889</v>
      </c>
      <c r="D417" t="s">
        <v>145</v>
      </c>
      <c r="E417" s="3">
        <v>44757</v>
      </c>
      <c r="F417" s="3" t="str">
        <f t="shared" si="12"/>
        <v>15-Jul</v>
      </c>
      <c r="G417" s="3" t="str">
        <f t="shared" si="13"/>
        <v>Friday</v>
      </c>
      <c r="H417" t="s">
        <v>24</v>
      </c>
      <c r="I417" t="s">
        <v>19</v>
      </c>
      <c r="J417" t="s">
        <v>898</v>
      </c>
      <c r="K417" t="s">
        <v>21</v>
      </c>
      <c r="L417">
        <v>7</v>
      </c>
    </row>
    <row r="418" spans="1:12">
      <c r="A418">
        <v>417</v>
      </c>
      <c r="B418" t="s">
        <v>899</v>
      </c>
      <c r="C418" t="s">
        <v>891</v>
      </c>
      <c r="D418" t="s">
        <v>54</v>
      </c>
      <c r="E418" s="3">
        <v>44745</v>
      </c>
      <c r="F418" s="3" t="str">
        <f t="shared" si="12"/>
        <v>03-Jul</v>
      </c>
      <c r="G418" s="3" t="str">
        <f t="shared" si="13"/>
        <v>Sunday</v>
      </c>
      <c r="H418" t="s">
        <v>18</v>
      </c>
      <c r="I418" t="s">
        <v>19</v>
      </c>
      <c r="J418" t="s">
        <v>900</v>
      </c>
      <c r="K418" t="s">
        <v>26</v>
      </c>
      <c r="L418">
        <v>7</v>
      </c>
    </row>
    <row r="419" spans="1:12">
      <c r="A419">
        <v>418</v>
      </c>
      <c r="B419" t="s">
        <v>901</v>
      </c>
      <c r="C419" t="s">
        <v>893</v>
      </c>
      <c r="D419" t="s">
        <v>151</v>
      </c>
      <c r="E419" s="3">
        <v>44760</v>
      </c>
      <c r="F419" s="3" t="str">
        <f t="shared" si="12"/>
        <v>18-Jul</v>
      </c>
      <c r="G419" s="3" t="str">
        <f t="shared" si="13"/>
        <v>Monday</v>
      </c>
      <c r="H419" t="s">
        <v>24</v>
      </c>
      <c r="I419" t="s">
        <v>19</v>
      </c>
      <c r="J419" t="s">
        <v>902</v>
      </c>
      <c r="K419" t="s">
        <v>32</v>
      </c>
      <c r="L419">
        <v>7</v>
      </c>
    </row>
    <row r="420" spans="1:12">
      <c r="A420">
        <v>419</v>
      </c>
      <c r="B420" t="s">
        <v>903</v>
      </c>
      <c r="C420" t="s">
        <v>895</v>
      </c>
      <c r="D420" t="s">
        <v>154</v>
      </c>
      <c r="E420" s="3">
        <v>44750</v>
      </c>
      <c r="F420" s="3" t="str">
        <f t="shared" si="12"/>
        <v>08-Jul</v>
      </c>
      <c r="G420" s="3" t="str">
        <f t="shared" si="13"/>
        <v>Friday</v>
      </c>
      <c r="H420" t="s">
        <v>24</v>
      </c>
      <c r="I420" t="s">
        <v>19</v>
      </c>
      <c r="J420" t="s">
        <v>904</v>
      </c>
      <c r="K420" t="s">
        <v>21</v>
      </c>
      <c r="L420">
        <v>10</v>
      </c>
    </row>
    <row r="421" spans="1:12">
      <c r="A421">
        <v>420</v>
      </c>
      <c r="B421" t="s">
        <v>905</v>
      </c>
      <c r="C421" t="s">
        <v>897</v>
      </c>
      <c r="D421" t="s">
        <v>157</v>
      </c>
      <c r="E421" s="3">
        <v>44742</v>
      </c>
      <c r="F421" s="3" t="str">
        <f t="shared" si="12"/>
        <v>30-Jun</v>
      </c>
      <c r="G421" s="3" t="str">
        <f t="shared" si="13"/>
        <v>Thursday</v>
      </c>
      <c r="H421" t="s">
        <v>18</v>
      </c>
      <c r="I421" t="s">
        <v>19</v>
      </c>
      <c r="J421" t="s">
        <v>906</v>
      </c>
      <c r="K421" t="s">
        <v>26</v>
      </c>
      <c r="L421">
        <v>7</v>
      </c>
    </row>
    <row r="422" spans="1:12">
      <c r="A422">
        <v>421</v>
      </c>
      <c r="B422" t="s">
        <v>907</v>
      </c>
      <c r="C422" t="s">
        <v>899</v>
      </c>
      <c r="D422" t="s">
        <v>160</v>
      </c>
      <c r="E422" s="3">
        <v>44754</v>
      </c>
      <c r="F422" s="3" t="str">
        <f t="shared" si="12"/>
        <v>12-Jul</v>
      </c>
      <c r="G422" s="3" t="str">
        <f t="shared" si="13"/>
        <v>Tuesday</v>
      </c>
      <c r="H422" t="s">
        <v>24</v>
      </c>
      <c r="I422" t="s">
        <v>19</v>
      </c>
      <c r="J422" t="s">
        <v>908</v>
      </c>
      <c r="K422" t="s">
        <v>32</v>
      </c>
      <c r="L422">
        <v>10</v>
      </c>
    </row>
    <row r="423" spans="1:12">
      <c r="A423">
        <v>422</v>
      </c>
      <c r="B423" t="s">
        <v>909</v>
      </c>
      <c r="C423" t="s">
        <v>901</v>
      </c>
      <c r="D423" t="s">
        <v>163</v>
      </c>
      <c r="E423" s="3">
        <v>44746</v>
      </c>
      <c r="F423" s="3" t="str">
        <f t="shared" si="12"/>
        <v>04-Jul</v>
      </c>
      <c r="G423" s="3" t="str">
        <f t="shared" si="13"/>
        <v>Monday</v>
      </c>
      <c r="H423" t="s">
        <v>24</v>
      </c>
      <c r="I423" t="s">
        <v>19</v>
      </c>
      <c r="J423" t="s">
        <v>910</v>
      </c>
      <c r="K423" t="s">
        <v>21</v>
      </c>
      <c r="L423">
        <v>9</v>
      </c>
    </row>
    <row r="424" spans="1:12">
      <c r="A424">
        <v>423</v>
      </c>
      <c r="B424" t="s">
        <v>911</v>
      </c>
      <c r="C424" t="s">
        <v>903</v>
      </c>
      <c r="D424" t="s">
        <v>17</v>
      </c>
      <c r="E424" s="3">
        <v>44752</v>
      </c>
      <c r="F424" s="3" t="str">
        <f t="shared" si="12"/>
        <v>10-Jul</v>
      </c>
      <c r="G424" s="3" t="str">
        <f t="shared" si="13"/>
        <v>Sunday</v>
      </c>
      <c r="H424" t="s">
        <v>18</v>
      </c>
      <c r="I424" t="s">
        <v>30</v>
      </c>
      <c r="J424" t="s">
        <v>912</v>
      </c>
      <c r="K424" t="s">
        <v>26</v>
      </c>
      <c r="L424">
        <v>10</v>
      </c>
    </row>
    <row r="425" spans="1:12">
      <c r="A425">
        <v>424</v>
      </c>
      <c r="B425" t="s">
        <v>913</v>
      </c>
      <c r="C425" t="s">
        <v>905</v>
      </c>
      <c r="D425" t="s">
        <v>23</v>
      </c>
      <c r="E425" s="3">
        <v>44725</v>
      </c>
      <c r="F425" s="3" t="str">
        <f t="shared" si="12"/>
        <v>13-Jun</v>
      </c>
      <c r="G425" s="3" t="str">
        <f t="shared" si="13"/>
        <v>Monday</v>
      </c>
      <c r="H425" t="s">
        <v>24</v>
      </c>
      <c r="I425" t="s">
        <v>19</v>
      </c>
      <c r="J425" t="s">
        <v>914</v>
      </c>
      <c r="K425" t="s">
        <v>32</v>
      </c>
      <c r="L425">
        <v>8</v>
      </c>
    </row>
    <row r="426" spans="1:12">
      <c r="A426">
        <v>425</v>
      </c>
      <c r="B426" t="s">
        <v>915</v>
      </c>
      <c r="C426" t="s">
        <v>907</v>
      </c>
      <c r="D426" t="s">
        <v>28</v>
      </c>
      <c r="E426" s="3">
        <v>44734</v>
      </c>
      <c r="F426" s="3" t="str">
        <f t="shared" si="12"/>
        <v>22-Jun</v>
      </c>
      <c r="G426" s="3" t="str">
        <f t="shared" si="13"/>
        <v>Wednesday</v>
      </c>
      <c r="H426" t="s">
        <v>18</v>
      </c>
      <c r="I426" t="s">
        <v>19</v>
      </c>
      <c r="J426" t="s">
        <v>916</v>
      </c>
      <c r="K426" t="s">
        <v>21</v>
      </c>
      <c r="L426">
        <v>9</v>
      </c>
    </row>
    <row r="427" spans="1:12">
      <c r="A427">
        <v>426</v>
      </c>
      <c r="B427" t="s">
        <v>917</v>
      </c>
      <c r="C427" t="s">
        <v>909</v>
      </c>
      <c r="D427" t="s">
        <v>34</v>
      </c>
      <c r="E427" s="3">
        <v>44761</v>
      </c>
      <c r="F427" s="3" t="str">
        <f t="shared" si="12"/>
        <v>19-Jul</v>
      </c>
      <c r="G427" s="3" t="str">
        <f t="shared" si="13"/>
        <v>Tuesday</v>
      </c>
      <c r="H427" t="s">
        <v>24</v>
      </c>
      <c r="I427" t="s">
        <v>19</v>
      </c>
      <c r="J427" t="s">
        <v>918</v>
      </c>
      <c r="K427" t="s">
        <v>26</v>
      </c>
      <c r="L427">
        <v>9</v>
      </c>
    </row>
    <row r="428" spans="1:12">
      <c r="A428">
        <v>427</v>
      </c>
      <c r="B428" t="s">
        <v>919</v>
      </c>
      <c r="C428" t="s">
        <v>911</v>
      </c>
      <c r="D428" t="s">
        <v>37</v>
      </c>
      <c r="E428" s="3">
        <v>44735</v>
      </c>
      <c r="F428" s="3" t="str">
        <f t="shared" si="12"/>
        <v>23-Jun</v>
      </c>
      <c r="G428" s="3" t="str">
        <f t="shared" si="13"/>
        <v>Thursday</v>
      </c>
      <c r="H428" t="s">
        <v>18</v>
      </c>
      <c r="I428" t="s">
        <v>19</v>
      </c>
      <c r="J428" t="s">
        <v>920</v>
      </c>
      <c r="K428" t="s">
        <v>32</v>
      </c>
      <c r="L428">
        <v>8</v>
      </c>
    </row>
    <row r="429" spans="1:12">
      <c r="A429">
        <v>428</v>
      </c>
      <c r="B429" t="s">
        <v>921</v>
      </c>
      <c r="C429" t="s">
        <v>913</v>
      </c>
      <c r="D429" t="s">
        <v>40</v>
      </c>
      <c r="E429" s="3">
        <v>44753</v>
      </c>
      <c r="F429" s="3" t="str">
        <f t="shared" si="12"/>
        <v>11-Jul</v>
      </c>
      <c r="G429" s="3" t="str">
        <f t="shared" si="13"/>
        <v>Monday</v>
      </c>
      <c r="H429" t="s">
        <v>24</v>
      </c>
      <c r="I429" t="s">
        <v>19</v>
      </c>
      <c r="J429" t="s">
        <v>922</v>
      </c>
      <c r="K429" t="s">
        <v>21</v>
      </c>
      <c r="L429">
        <v>7</v>
      </c>
    </row>
    <row r="430" spans="1:12">
      <c r="A430">
        <v>429</v>
      </c>
      <c r="B430" t="s">
        <v>923</v>
      </c>
      <c r="C430" t="s">
        <v>915</v>
      </c>
      <c r="D430" t="s">
        <v>43</v>
      </c>
      <c r="E430" s="3">
        <v>44732</v>
      </c>
      <c r="F430" s="3" t="str">
        <f t="shared" si="12"/>
        <v>20-Jun</v>
      </c>
      <c r="G430" s="3" t="str">
        <f t="shared" si="13"/>
        <v>Monday</v>
      </c>
      <c r="H430" t="s">
        <v>29</v>
      </c>
      <c r="I430" t="s">
        <v>30</v>
      </c>
      <c r="J430" t="s">
        <v>924</v>
      </c>
      <c r="K430" t="s">
        <v>26</v>
      </c>
      <c r="L430">
        <v>10</v>
      </c>
    </row>
    <row r="431" spans="1:12">
      <c r="A431">
        <v>430</v>
      </c>
      <c r="B431" t="s">
        <v>925</v>
      </c>
      <c r="C431" t="s">
        <v>917</v>
      </c>
      <c r="D431" t="s">
        <v>43</v>
      </c>
      <c r="E431" s="3">
        <v>44748</v>
      </c>
      <c r="F431" s="3" t="str">
        <f t="shared" si="12"/>
        <v>06-Jul</v>
      </c>
      <c r="G431" s="3" t="str">
        <f t="shared" si="13"/>
        <v>Wednesday</v>
      </c>
      <c r="H431" t="s">
        <v>18</v>
      </c>
      <c r="I431" t="s">
        <v>19</v>
      </c>
      <c r="J431" t="s">
        <v>926</v>
      </c>
      <c r="K431" t="s">
        <v>32</v>
      </c>
      <c r="L431">
        <v>8</v>
      </c>
    </row>
    <row r="432" spans="1:12">
      <c r="A432">
        <v>431</v>
      </c>
      <c r="B432" t="s">
        <v>927</v>
      </c>
      <c r="C432" t="s">
        <v>919</v>
      </c>
      <c r="D432" t="s">
        <v>49</v>
      </c>
      <c r="E432" s="3">
        <v>44731</v>
      </c>
      <c r="F432" s="3" t="str">
        <f t="shared" si="12"/>
        <v>19-Jun</v>
      </c>
      <c r="G432" s="3" t="str">
        <f t="shared" si="13"/>
        <v>Sunday</v>
      </c>
      <c r="H432" t="s">
        <v>24</v>
      </c>
      <c r="I432" t="s">
        <v>19</v>
      </c>
      <c r="J432" t="s">
        <v>928</v>
      </c>
      <c r="K432" t="s">
        <v>21</v>
      </c>
      <c r="L432">
        <v>10</v>
      </c>
    </row>
    <row r="433" spans="1:12">
      <c r="A433">
        <v>432</v>
      </c>
      <c r="B433" t="s">
        <v>929</v>
      </c>
      <c r="C433" t="s">
        <v>921</v>
      </c>
      <c r="D433" t="s">
        <v>184</v>
      </c>
      <c r="E433" s="3">
        <v>44725</v>
      </c>
      <c r="F433" s="3" t="str">
        <f t="shared" si="12"/>
        <v>13-Jun</v>
      </c>
      <c r="G433" s="3" t="str">
        <f t="shared" si="13"/>
        <v>Monday</v>
      </c>
      <c r="H433" t="s">
        <v>24</v>
      </c>
      <c r="I433" t="s">
        <v>19</v>
      </c>
      <c r="J433" t="s">
        <v>930</v>
      </c>
      <c r="K433" t="s">
        <v>26</v>
      </c>
      <c r="L433">
        <v>7</v>
      </c>
    </row>
    <row r="434" spans="1:12">
      <c r="A434">
        <v>433</v>
      </c>
      <c r="B434" t="s">
        <v>931</v>
      </c>
      <c r="C434" t="s">
        <v>923</v>
      </c>
      <c r="D434" t="s">
        <v>54</v>
      </c>
      <c r="E434" s="3">
        <v>44753</v>
      </c>
      <c r="F434" s="3" t="str">
        <f t="shared" si="12"/>
        <v>11-Jul</v>
      </c>
      <c r="G434" s="3" t="str">
        <f t="shared" si="13"/>
        <v>Monday</v>
      </c>
      <c r="H434" t="s">
        <v>18</v>
      </c>
      <c r="I434" t="s">
        <v>19</v>
      </c>
      <c r="J434" t="s">
        <v>932</v>
      </c>
      <c r="K434" t="s">
        <v>32</v>
      </c>
      <c r="L434">
        <v>7</v>
      </c>
    </row>
    <row r="435" spans="1:12">
      <c r="A435">
        <v>434</v>
      </c>
      <c r="B435" t="s">
        <v>933</v>
      </c>
      <c r="C435" t="s">
        <v>925</v>
      </c>
      <c r="D435" t="s">
        <v>57</v>
      </c>
      <c r="E435" s="3">
        <v>44738</v>
      </c>
      <c r="F435" s="3" t="str">
        <f t="shared" si="12"/>
        <v>26-Jun</v>
      </c>
      <c r="G435" s="3" t="str">
        <f t="shared" si="13"/>
        <v>Sunday</v>
      </c>
      <c r="H435" t="s">
        <v>24</v>
      </c>
      <c r="I435" t="s">
        <v>19</v>
      </c>
      <c r="J435" t="s">
        <v>934</v>
      </c>
      <c r="K435" t="s">
        <v>21</v>
      </c>
      <c r="L435">
        <v>10</v>
      </c>
    </row>
    <row r="436" spans="1:12">
      <c r="A436">
        <v>435</v>
      </c>
      <c r="B436" t="s">
        <v>935</v>
      </c>
      <c r="C436" t="s">
        <v>927</v>
      </c>
      <c r="D436" t="s">
        <v>60</v>
      </c>
      <c r="E436" s="3">
        <v>44762</v>
      </c>
      <c r="F436" s="3" t="str">
        <f t="shared" si="12"/>
        <v>20-Jul</v>
      </c>
      <c r="G436" s="3" t="str">
        <f t="shared" si="13"/>
        <v>Wednesday</v>
      </c>
      <c r="H436" t="s">
        <v>18</v>
      </c>
      <c r="I436" t="s">
        <v>19</v>
      </c>
      <c r="J436" t="s">
        <v>936</v>
      </c>
      <c r="K436" t="s">
        <v>26</v>
      </c>
      <c r="L436">
        <v>9</v>
      </c>
    </row>
    <row r="437" spans="1:12">
      <c r="A437">
        <v>436</v>
      </c>
      <c r="B437" t="s">
        <v>937</v>
      </c>
      <c r="C437" t="s">
        <v>929</v>
      </c>
      <c r="D437" t="s">
        <v>63</v>
      </c>
      <c r="E437" s="3">
        <v>44756</v>
      </c>
      <c r="F437" s="3" t="str">
        <f t="shared" si="12"/>
        <v>14-Jul</v>
      </c>
      <c r="G437" s="3" t="str">
        <f t="shared" si="13"/>
        <v>Thursday</v>
      </c>
      <c r="H437" t="s">
        <v>24</v>
      </c>
      <c r="I437" t="s">
        <v>19</v>
      </c>
      <c r="J437" t="s">
        <v>938</v>
      </c>
      <c r="K437" t="s">
        <v>32</v>
      </c>
      <c r="L437">
        <v>9</v>
      </c>
    </row>
    <row r="438" spans="1:12">
      <c r="A438">
        <v>437</v>
      </c>
      <c r="B438" t="s">
        <v>939</v>
      </c>
      <c r="C438" t="s">
        <v>931</v>
      </c>
      <c r="D438" t="s">
        <v>163</v>
      </c>
      <c r="E438" s="3">
        <v>44744</v>
      </c>
      <c r="F438" s="3" t="str">
        <f t="shared" si="12"/>
        <v>02-Jul</v>
      </c>
      <c r="G438" s="3" t="str">
        <f t="shared" si="13"/>
        <v>Saturday</v>
      </c>
      <c r="H438" t="s">
        <v>24</v>
      </c>
      <c r="I438" t="s">
        <v>19</v>
      </c>
      <c r="J438" t="s">
        <v>940</v>
      </c>
      <c r="K438" t="s">
        <v>21</v>
      </c>
      <c r="L438">
        <v>7</v>
      </c>
    </row>
    <row r="439" spans="1:12">
      <c r="A439">
        <v>438</v>
      </c>
      <c r="B439" t="s">
        <v>941</v>
      </c>
      <c r="C439" t="s">
        <v>933</v>
      </c>
      <c r="D439" t="s">
        <v>17</v>
      </c>
      <c r="E439" s="3">
        <v>44753</v>
      </c>
      <c r="F439" s="3" t="str">
        <f t="shared" si="12"/>
        <v>11-Jul</v>
      </c>
      <c r="G439" s="3" t="str">
        <f t="shared" si="13"/>
        <v>Monday</v>
      </c>
      <c r="H439" t="s">
        <v>18</v>
      </c>
      <c r="I439" t="s">
        <v>19</v>
      </c>
      <c r="J439" t="s">
        <v>942</v>
      </c>
      <c r="K439" t="s">
        <v>26</v>
      </c>
      <c r="L439">
        <v>10</v>
      </c>
    </row>
    <row r="440" spans="1:12">
      <c r="A440">
        <v>439</v>
      </c>
      <c r="B440" t="s">
        <v>943</v>
      </c>
      <c r="C440" t="s">
        <v>935</v>
      </c>
      <c r="D440" t="s">
        <v>23</v>
      </c>
      <c r="E440" s="3">
        <v>44762</v>
      </c>
      <c r="F440" s="3" t="str">
        <f t="shared" si="12"/>
        <v>20-Jul</v>
      </c>
      <c r="G440" s="3" t="str">
        <f t="shared" si="13"/>
        <v>Wednesday</v>
      </c>
      <c r="H440" t="s">
        <v>24</v>
      </c>
      <c r="I440" t="s">
        <v>19</v>
      </c>
      <c r="J440" t="s">
        <v>944</v>
      </c>
      <c r="K440" t="s">
        <v>32</v>
      </c>
      <c r="L440">
        <v>7</v>
      </c>
    </row>
    <row r="441" spans="1:12">
      <c r="A441">
        <v>440</v>
      </c>
      <c r="B441" t="s">
        <v>945</v>
      </c>
      <c r="C441" t="s">
        <v>937</v>
      </c>
      <c r="D441" t="s">
        <v>28</v>
      </c>
      <c r="E441" s="3">
        <v>44740</v>
      </c>
      <c r="F441" s="3" t="str">
        <f t="shared" si="12"/>
        <v>28-Jun</v>
      </c>
      <c r="G441" s="3" t="str">
        <f t="shared" si="13"/>
        <v>Tuesday</v>
      </c>
      <c r="H441" t="s">
        <v>24</v>
      </c>
      <c r="I441" t="s">
        <v>19</v>
      </c>
      <c r="J441" t="s">
        <v>946</v>
      </c>
      <c r="K441" t="s">
        <v>21</v>
      </c>
      <c r="L441">
        <v>7</v>
      </c>
    </row>
    <row r="442" spans="1:12">
      <c r="A442">
        <v>441</v>
      </c>
      <c r="B442" t="s">
        <v>947</v>
      </c>
      <c r="C442" t="s">
        <v>939</v>
      </c>
      <c r="D442" t="s">
        <v>34</v>
      </c>
      <c r="E442" s="3">
        <v>44729</v>
      </c>
      <c r="F442" s="3" t="str">
        <f t="shared" si="12"/>
        <v>17-Jun</v>
      </c>
      <c r="G442" s="3" t="str">
        <f t="shared" si="13"/>
        <v>Friday</v>
      </c>
      <c r="H442" t="s">
        <v>18</v>
      </c>
      <c r="I442" t="s">
        <v>19</v>
      </c>
      <c r="J442" t="s">
        <v>948</v>
      </c>
      <c r="K442" t="s">
        <v>26</v>
      </c>
      <c r="L442">
        <v>8</v>
      </c>
    </row>
    <row r="443" spans="1:12">
      <c r="A443">
        <v>442</v>
      </c>
      <c r="B443" t="s">
        <v>949</v>
      </c>
      <c r="C443" t="s">
        <v>941</v>
      </c>
      <c r="D443" t="s">
        <v>37</v>
      </c>
      <c r="E443" s="3">
        <v>44727</v>
      </c>
      <c r="F443" s="3" t="str">
        <f t="shared" si="12"/>
        <v>15-Jun</v>
      </c>
      <c r="G443" s="3" t="str">
        <f t="shared" si="13"/>
        <v>Wednesday</v>
      </c>
      <c r="H443" t="s">
        <v>24</v>
      </c>
      <c r="I443" t="s">
        <v>19</v>
      </c>
      <c r="J443" t="s">
        <v>950</v>
      </c>
      <c r="K443" t="s">
        <v>32</v>
      </c>
      <c r="L443">
        <v>7</v>
      </c>
    </row>
    <row r="444" spans="1:12">
      <c r="A444">
        <v>443</v>
      </c>
      <c r="B444" t="s">
        <v>951</v>
      </c>
      <c r="C444" t="s">
        <v>943</v>
      </c>
      <c r="D444" t="s">
        <v>40</v>
      </c>
      <c r="E444" s="3">
        <v>44734</v>
      </c>
      <c r="F444" s="3" t="str">
        <f t="shared" si="12"/>
        <v>22-Jun</v>
      </c>
      <c r="G444" s="3" t="str">
        <f t="shared" si="13"/>
        <v>Wednesday</v>
      </c>
      <c r="H444" t="s">
        <v>18</v>
      </c>
      <c r="I444" t="s">
        <v>19</v>
      </c>
      <c r="J444" t="s">
        <v>952</v>
      </c>
      <c r="K444" t="s">
        <v>21</v>
      </c>
      <c r="L444">
        <v>10</v>
      </c>
    </row>
    <row r="445" spans="1:12">
      <c r="A445">
        <v>444</v>
      </c>
      <c r="B445" t="s">
        <v>953</v>
      </c>
      <c r="C445" t="s">
        <v>945</v>
      </c>
      <c r="D445" t="s">
        <v>43</v>
      </c>
      <c r="E445" s="3">
        <v>44744</v>
      </c>
      <c r="F445" s="3" t="str">
        <f t="shared" si="12"/>
        <v>02-Jul</v>
      </c>
      <c r="G445" s="3" t="str">
        <f t="shared" si="13"/>
        <v>Saturday</v>
      </c>
      <c r="H445" t="s">
        <v>24</v>
      </c>
      <c r="I445" t="s">
        <v>19</v>
      </c>
      <c r="J445" t="s">
        <v>954</v>
      </c>
      <c r="K445" t="s">
        <v>26</v>
      </c>
      <c r="L445">
        <v>7</v>
      </c>
    </row>
    <row r="446" spans="1:12">
      <c r="A446">
        <v>445</v>
      </c>
      <c r="B446" t="s">
        <v>955</v>
      </c>
      <c r="C446" t="s">
        <v>947</v>
      </c>
      <c r="D446" t="s">
        <v>43</v>
      </c>
      <c r="E446" s="3">
        <v>44737</v>
      </c>
      <c r="F446" s="3" t="str">
        <f t="shared" si="12"/>
        <v>25-Jun</v>
      </c>
      <c r="G446" s="3" t="str">
        <f t="shared" si="13"/>
        <v>Saturday</v>
      </c>
      <c r="H446" t="s">
        <v>18</v>
      </c>
      <c r="I446" t="s">
        <v>19</v>
      </c>
      <c r="J446" t="s">
        <v>956</v>
      </c>
      <c r="K446" t="s">
        <v>32</v>
      </c>
      <c r="L446">
        <v>10</v>
      </c>
    </row>
    <row r="447" spans="1:12">
      <c r="A447">
        <v>446</v>
      </c>
      <c r="B447" t="s">
        <v>957</v>
      </c>
      <c r="C447" t="s">
        <v>949</v>
      </c>
      <c r="D447" t="s">
        <v>49</v>
      </c>
      <c r="E447" s="3">
        <v>44752</v>
      </c>
      <c r="F447" s="3" t="str">
        <f t="shared" si="12"/>
        <v>10-Jul</v>
      </c>
      <c r="G447" s="3" t="str">
        <f t="shared" si="13"/>
        <v>Sunday</v>
      </c>
      <c r="H447" t="s">
        <v>24</v>
      </c>
      <c r="I447" t="s">
        <v>19</v>
      </c>
      <c r="J447" t="s">
        <v>958</v>
      </c>
      <c r="K447" t="s">
        <v>21</v>
      </c>
      <c r="L447">
        <v>7</v>
      </c>
    </row>
    <row r="448" spans="1:12">
      <c r="A448">
        <v>447</v>
      </c>
      <c r="B448" t="s">
        <v>959</v>
      </c>
      <c r="C448" t="s">
        <v>951</v>
      </c>
      <c r="D448" t="s">
        <v>40</v>
      </c>
      <c r="E448" s="3">
        <v>44736</v>
      </c>
      <c r="F448" s="3" t="str">
        <f t="shared" si="12"/>
        <v>24-Jun</v>
      </c>
      <c r="G448" s="3" t="str">
        <f t="shared" si="13"/>
        <v>Friday</v>
      </c>
      <c r="H448" t="s">
        <v>29</v>
      </c>
      <c r="I448" t="s">
        <v>19</v>
      </c>
      <c r="J448" t="s">
        <v>960</v>
      </c>
      <c r="K448" t="s">
        <v>26</v>
      </c>
      <c r="L448">
        <v>9</v>
      </c>
    </row>
    <row r="449" spans="1:12">
      <c r="A449">
        <v>448</v>
      </c>
      <c r="B449" t="s">
        <v>961</v>
      </c>
      <c r="C449" t="s">
        <v>953</v>
      </c>
      <c r="D449" t="s">
        <v>54</v>
      </c>
      <c r="E449" s="3">
        <v>44752</v>
      </c>
      <c r="F449" s="3" t="str">
        <f t="shared" si="12"/>
        <v>10-Jul</v>
      </c>
      <c r="G449" s="3" t="str">
        <f t="shared" si="13"/>
        <v>Sunday</v>
      </c>
      <c r="H449" t="s">
        <v>18</v>
      </c>
      <c r="I449" t="s">
        <v>19</v>
      </c>
      <c r="J449" t="s">
        <v>962</v>
      </c>
      <c r="K449" t="s">
        <v>32</v>
      </c>
      <c r="L449">
        <v>7</v>
      </c>
    </row>
    <row r="450" spans="1:12">
      <c r="A450">
        <v>449</v>
      </c>
      <c r="B450" t="s">
        <v>963</v>
      </c>
      <c r="C450" t="s">
        <v>955</v>
      </c>
      <c r="D450" t="s">
        <v>57</v>
      </c>
      <c r="E450" s="3">
        <v>44759</v>
      </c>
      <c r="F450" s="3" t="str">
        <f t="shared" ref="F450:F513" si="14">TEXT(E450,"dd-mmm")</f>
        <v>17-Jul</v>
      </c>
      <c r="G450" s="3" t="str">
        <f t="shared" ref="G450:G513" si="15">TEXT(E450,"dddd")</f>
        <v>Sunday</v>
      </c>
      <c r="H450" t="s">
        <v>24</v>
      </c>
      <c r="I450" t="s">
        <v>19</v>
      </c>
      <c r="J450" t="s">
        <v>964</v>
      </c>
      <c r="K450" t="s">
        <v>21</v>
      </c>
      <c r="L450">
        <v>8</v>
      </c>
    </row>
    <row r="451" spans="1:12">
      <c r="A451">
        <v>450</v>
      </c>
      <c r="B451" t="s">
        <v>965</v>
      </c>
      <c r="C451" t="s">
        <v>957</v>
      </c>
      <c r="D451" t="s">
        <v>60</v>
      </c>
      <c r="E451" s="3">
        <v>44763</v>
      </c>
      <c r="F451" s="3" t="str">
        <f t="shared" si="14"/>
        <v>21-Jul</v>
      </c>
      <c r="G451" s="3" t="str">
        <f t="shared" si="15"/>
        <v>Thursday</v>
      </c>
      <c r="H451" t="s">
        <v>24</v>
      </c>
      <c r="I451" t="s">
        <v>19</v>
      </c>
      <c r="J451" t="s">
        <v>966</v>
      </c>
      <c r="K451" t="s">
        <v>21</v>
      </c>
      <c r="L451">
        <v>10</v>
      </c>
    </row>
    <row r="452" spans="1:12">
      <c r="A452">
        <v>451</v>
      </c>
      <c r="B452" t="s">
        <v>967</v>
      </c>
      <c r="C452" t="s">
        <v>959</v>
      </c>
      <c r="D452" t="s">
        <v>63</v>
      </c>
      <c r="E452" s="3">
        <v>44763</v>
      </c>
      <c r="F452" s="3" t="str">
        <f t="shared" si="14"/>
        <v>21-Jul</v>
      </c>
      <c r="G452" s="3" t="str">
        <f t="shared" si="15"/>
        <v>Thursday</v>
      </c>
      <c r="H452" t="s">
        <v>18</v>
      </c>
      <c r="I452" t="s">
        <v>30</v>
      </c>
      <c r="J452" t="s">
        <v>968</v>
      </c>
      <c r="K452" t="s">
        <v>21</v>
      </c>
      <c r="L452">
        <v>9</v>
      </c>
    </row>
    <row r="453" spans="1:12">
      <c r="A453">
        <v>452</v>
      </c>
      <c r="B453" t="s">
        <v>969</v>
      </c>
      <c r="C453" t="s">
        <v>961</v>
      </c>
      <c r="D453" t="s">
        <v>40</v>
      </c>
      <c r="E453" s="3">
        <v>44750</v>
      </c>
      <c r="F453" s="3" t="str">
        <f t="shared" si="14"/>
        <v>08-Jul</v>
      </c>
      <c r="G453" s="3" t="str">
        <f t="shared" si="15"/>
        <v>Friday</v>
      </c>
      <c r="H453" t="s">
        <v>24</v>
      </c>
      <c r="I453" t="s">
        <v>19</v>
      </c>
      <c r="J453" t="s">
        <v>970</v>
      </c>
      <c r="K453" t="s">
        <v>26</v>
      </c>
      <c r="L453">
        <v>7</v>
      </c>
    </row>
    <row r="454" spans="1:12">
      <c r="A454">
        <v>453</v>
      </c>
      <c r="B454" t="s">
        <v>971</v>
      </c>
      <c r="C454" t="s">
        <v>963</v>
      </c>
      <c r="D454" t="s">
        <v>68</v>
      </c>
      <c r="E454" s="3">
        <v>44751</v>
      </c>
      <c r="F454" s="3" t="str">
        <f t="shared" si="14"/>
        <v>09-Jul</v>
      </c>
      <c r="G454" s="3" t="str">
        <f t="shared" si="15"/>
        <v>Saturday</v>
      </c>
      <c r="H454" t="s">
        <v>18</v>
      </c>
      <c r="I454" t="s">
        <v>19</v>
      </c>
      <c r="J454" t="s">
        <v>972</v>
      </c>
      <c r="K454" t="s">
        <v>32</v>
      </c>
      <c r="L454">
        <v>8</v>
      </c>
    </row>
    <row r="455" spans="1:12">
      <c r="A455">
        <v>454</v>
      </c>
      <c r="B455" t="s">
        <v>973</v>
      </c>
      <c r="C455" t="s">
        <v>965</v>
      </c>
      <c r="D455" t="s">
        <v>57</v>
      </c>
      <c r="E455" s="3">
        <v>44736</v>
      </c>
      <c r="F455" s="3" t="str">
        <f t="shared" si="14"/>
        <v>24-Jun</v>
      </c>
      <c r="G455" s="3" t="str">
        <f t="shared" si="15"/>
        <v>Friday</v>
      </c>
      <c r="H455" t="s">
        <v>24</v>
      </c>
      <c r="I455" t="s">
        <v>19</v>
      </c>
      <c r="J455" t="s">
        <v>974</v>
      </c>
      <c r="K455" t="s">
        <v>21</v>
      </c>
      <c r="L455">
        <v>7</v>
      </c>
    </row>
    <row r="456" spans="1:12">
      <c r="A456">
        <v>455</v>
      </c>
      <c r="B456" t="s">
        <v>975</v>
      </c>
      <c r="C456" t="s">
        <v>967</v>
      </c>
      <c r="D456" t="s">
        <v>37</v>
      </c>
      <c r="E456" s="3">
        <v>44737</v>
      </c>
      <c r="F456" s="3" t="str">
        <f t="shared" si="14"/>
        <v>25-Jun</v>
      </c>
      <c r="G456" s="3" t="str">
        <f t="shared" si="15"/>
        <v>Saturday</v>
      </c>
      <c r="H456" t="s">
        <v>24</v>
      </c>
      <c r="I456" t="s">
        <v>19</v>
      </c>
      <c r="J456" t="s">
        <v>976</v>
      </c>
      <c r="K456" t="s">
        <v>26</v>
      </c>
      <c r="L456">
        <v>9</v>
      </c>
    </row>
    <row r="457" spans="1:12">
      <c r="A457">
        <v>456</v>
      </c>
      <c r="B457" t="s">
        <v>977</v>
      </c>
      <c r="C457" t="s">
        <v>969</v>
      </c>
      <c r="D457" t="s">
        <v>75</v>
      </c>
      <c r="E457" s="3">
        <v>44744</v>
      </c>
      <c r="F457" s="3" t="str">
        <f t="shared" si="14"/>
        <v>02-Jul</v>
      </c>
      <c r="G457" s="3" t="str">
        <f t="shared" si="15"/>
        <v>Saturday</v>
      </c>
      <c r="H457" t="s">
        <v>18</v>
      </c>
      <c r="I457" t="s">
        <v>19</v>
      </c>
      <c r="J457" t="s">
        <v>978</v>
      </c>
      <c r="K457" t="s">
        <v>32</v>
      </c>
      <c r="L457">
        <v>10</v>
      </c>
    </row>
    <row r="458" spans="1:12">
      <c r="A458">
        <v>457</v>
      </c>
      <c r="B458" t="s">
        <v>979</v>
      </c>
      <c r="C458" t="s">
        <v>971</v>
      </c>
      <c r="D458" t="s">
        <v>78</v>
      </c>
      <c r="E458" s="3">
        <v>44735</v>
      </c>
      <c r="F458" s="3" t="str">
        <f t="shared" si="14"/>
        <v>23-Jun</v>
      </c>
      <c r="G458" s="3" t="str">
        <f t="shared" si="15"/>
        <v>Thursday</v>
      </c>
      <c r="H458" t="s">
        <v>24</v>
      </c>
      <c r="I458" t="s">
        <v>30</v>
      </c>
      <c r="J458" t="s">
        <v>980</v>
      </c>
      <c r="K458" t="s">
        <v>21</v>
      </c>
      <c r="L458">
        <v>7</v>
      </c>
    </row>
    <row r="459" spans="1:12">
      <c r="A459">
        <v>458</v>
      </c>
      <c r="B459" t="s">
        <v>981</v>
      </c>
      <c r="C459" t="s">
        <v>973</v>
      </c>
      <c r="D459" t="s">
        <v>81</v>
      </c>
      <c r="E459" s="3">
        <v>44751</v>
      </c>
      <c r="F459" s="3" t="str">
        <f t="shared" si="14"/>
        <v>09-Jul</v>
      </c>
      <c r="G459" s="3" t="str">
        <f t="shared" si="15"/>
        <v>Saturday</v>
      </c>
      <c r="H459" t="s">
        <v>24</v>
      </c>
      <c r="I459" t="s">
        <v>19</v>
      </c>
      <c r="J459" t="s">
        <v>982</v>
      </c>
      <c r="K459" t="s">
        <v>26</v>
      </c>
      <c r="L459">
        <v>7</v>
      </c>
    </row>
    <row r="460" spans="1:12">
      <c r="A460">
        <v>459</v>
      </c>
      <c r="B460" t="s">
        <v>983</v>
      </c>
      <c r="C460" t="s">
        <v>975</v>
      </c>
      <c r="D460" t="s">
        <v>84</v>
      </c>
      <c r="E460" s="3">
        <v>44726</v>
      </c>
      <c r="F460" s="3" t="str">
        <f t="shared" si="14"/>
        <v>14-Jun</v>
      </c>
      <c r="G460" s="3" t="str">
        <f t="shared" si="15"/>
        <v>Tuesday</v>
      </c>
      <c r="H460" t="s">
        <v>18</v>
      </c>
      <c r="I460" t="s">
        <v>19</v>
      </c>
      <c r="J460" t="s">
        <v>984</v>
      </c>
      <c r="K460" t="s">
        <v>32</v>
      </c>
      <c r="L460">
        <v>7</v>
      </c>
    </row>
    <row r="461" spans="1:12">
      <c r="A461">
        <v>460</v>
      </c>
      <c r="B461" t="s">
        <v>985</v>
      </c>
      <c r="C461" t="s">
        <v>977</v>
      </c>
      <c r="D461" t="s">
        <v>87</v>
      </c>
      <c r="E461" s="3">
        <v>44749</v>
      </c>
      <c r="F461" s="3" t="str">
        <f t="shared" si="14"/>
        <v>07-Jul</v>
      </c>
      <c r="G461" s="3" t="str">
        <f t="shared" si="15"/>
        <v>Thursday</v>
      </c>
      <c r="H461" t="s">
        <v>24</v>
      </c>
      <c r="I461" t="s">
        <v>19</v>
      </c>
      <c r="J461" t="s">
        <v>986</v>
      </c>
      <c r="K461" t="s">
        <v>21</v>
      </c>
      <c r="L461">
        <v>9</v>
      </c>
    </row>
    <row r="462" spans="1:12">
      <c r="A462">
        <v>461</v>
      </c>
      <c r="B462" t="s">
        <v>987</v>
      </c>
      <c r="C462" t="s">
        <v>979</v>
      </c>
      <c r="D462" t="s">
        <v>90</v>
      </c>
      <c r="E462" s="3">
        <v>44734</v>
      </c>
      <c r="F462" s="3" t="str">
        <f t="shared" si="14"/>
        <v>22-Jun</v>
      </c>
      <c r="G462" s="3" t="str">
        <f t="shared" si="15"/>
        <v>Wednesday</v>
      </c>
      <c r="H462" t="s">
        <v>18</v>
      </c>
      <c r="I462" t="s">
        <v>19</v>
      </c>
      <c r="J462" t="s">
        <v>988</v>
      </c>
      <c r="K462" t="s">
        <v>26</v>
      </c>
      <c r="L462">
        <v>10</v>
      </c>
    </row>
    <row r="463" spans="1:12">
      <c r="A463">
        <v>462</v>
      </c>
      <c r="B463" t="s">
        <v>989</v>
      </c>
      <c r="C463" t="s">
        <v>981</v>
      </c>
      <c r="D463" t="s">
        <v>93</v>
      </c>
      <c r="E463" s="3">
        <v>44726</v>
      </c>
      <c r="F463" s="3" t="str">
        <f t="shared" si="14"/>
        <v>14-Jun</v>
      </c>
      <c r="G463" s="3" t="str">
        <f t="shared" si="15"/>
        <v>Tuesday</v>
      </c>
      <c r="H463" t="s">
        <v>24</v>
      </c>
      <c r="I463" t="s">
        <v>19</v>
      </c>
      <c r="J463" t="s">
        <v>990</v>
      </c>
      <c r="K463" t="s">
        <v>32</v>
      </c>
      <c r="L463">
        <v>7</v>
      </c>
    </row>
    <row r="464" spans="1:12">
      <c r="A464">
        <v>463</v>
      </c>
      <c r="B464" t="s">
        <v>991</v>
      </c>
      <c r="C464" t="s">
        <v>983</v>
      </c>
      <c r="D464" t="s">
        <v>96</v>
      </c>
      <c r="E464" s="3">
        <v>44743</v>
      </c>
      <c r="F464" s="3" t="str">
        <f t="shared" si="14"/>
        <v>01-Jul</v>
      </c>
      <c r="G464" s="3" t="str">
        <f t="shared" si="15"/>
        <v>Friday</v>
      </c>
      <c r="H464" t="s">
        <v>18</v>
      </c>
      <c r="I464" t="s">
        <v>19</v>
      </c>
      <c r="J464" t="s">
        <v>992</v>
      </c>
      <c r="K464" t="s">
        <v>21</v>
      </c>
      <c r="L464">
        <v>7</v>
      </c>
    </row>
    <row r="465" spans="1:12">
      <c r="A465">
        <v>464</v>
      </c>
      <c r="B465" t="s">
        <v>993</v>
      </c>
      <c r="C465" t="s">
        <v>985</v>
      </c>
      <c r="D465" t="s">
        <v>99</v>
      </c>
      <c r="E465" s="3">
        <v>44742</v>
      </c>
      <c r="F465" s="3" t="str">
        <f t="shared" si="14"/>
        <v>30-Jun</v>
      </c>
      <c r="G465" s="3" t="str">
        <f t="shared" si="15"/>
        <v>Thursday</v>
      </c>
      <c r="H465" t="s">
        <v>24</v>
      </c>
      <c r="I465" t="s">
        <v>19</v>
      </c>
      <c r="J465" t="s">
        <v>994</v>
      </c>
      <c r="K465" t="s">
        <v>26</v>
      </c>
      <c r="L465">
        <v>8</v>
      </c>
    </row>
    <row r="466" spans="1:12">
      <c r="A466">
        <v>465</v>
      </c>
      <c r="B466" t="s">
        <v>995</v>
      </c>
      <c r="C466" t="s">
        <v>987</v>
      </c>
      <c r="D466" t="s">
        <v>103</v>
      </c>
      <c r="E466" s="3">
        <v>44747</v>
      </c>
      <c r="F466" s="3" t="str">
        <f t="shared" si="14"/>
        <v>05-Jul</v>
      </c>
      <c r="G466" s="3" t="str">
        <f t="shared" si="15"/>
        <v>Tuesday</v>
      </c>
      <c r="H466" t="s">
        <v>29</v>
      </c>
      <c r="I466" t="s">
        <v>19</v>
      </c>
      <c r="J466" t="s">
        <v>996</v>
      </c>
      <c r="K466" t="s">
        <v>32</v>
      </c>
      <c r="L466">
        <v>8</v>
      </c>
    </row>
    <row r="467" spans="1:12">
      <c r="A467">
        <v>466</v>
      </c>
      <c r="B467" t="s">
        <v>997</v>
      </c>
      <c r="C467" t="s">
        <v>989</v>
      </c>
      <c r="D467" t="s">
        <v>106</v>
      </c>
      <c r="E467" s="3">
        <v>44764</v>
      </c>
      <c r="F467" s="3" t="str">
        <f t="shared" si="14"/>
        <v>22-Jul</v>
      </c>
      <c r="G467" s="3" t="str">
        <f t="shared" si="15"/>
        <v>Friday</v>
      </c>
      <c r="H467" t="s">
        <v>18</v>
      </c>
      <c r="I467" t="s">
        <v>19</v>
      </c>
      <c r="J467" t="s">
        <v>998</v>
      </c>
      <c r="K467" t="s">
        <v>21</v>
      </c>
      <c r="L467">
        <v>10</v>
      </c>
    </row>
    <row r="468" spans="1:12">
      <c r="A468">
        <v>467</v>
      </c>
      <c r="B468" t="s">
        <v>999</v>
      </c>
      <c r="C468" t="s">
        <v>991</v>
      </c>
      <c r="D468" t="s">
        <v>109</v>
      </c>
      <c r="E468" s="3">
        <v>44735</v>
      </c>
      <c r="F468" s="3" t="str">
        <f t="shared" si="14"/>
        <v>23-Jun</v>
      </c>
      <c r="G468" s="3" t="str">
        <f t="shared" si="15"/>
        <v>Thursday</v>
      </c>
      <c r="H468" t="s">
        <v>24</v>
      </c>
      <c r="I468" t="s">
        <v>19</v>
      </c>
      <c r="J468" t="s">
        <v>1000</v>
      </c>
      <c r="K468" t="s">
        <v>26</v>
      </c>
      <c r="L468">
        <v>9</v>
      </c>
    </row>
    <row r="469" spans="1:12">
      <c r="A469">
        <v>468</v>
      </c>
      <c r="B469" t="s">
        <v>1001</v>
      </c>
      <c r="C469" t="s">
        <v>993</v>
      </c>
      <c r="D469" t="s">
        <v>112</v>
      </c>
      <c r="E469" s="3">
        <v>44737</v>
      </c>
      <c r="F469" s="3" t="str">
        <f t="shared" si="14"/>
        <v>25-Jun</v>
      </c>
      <c r="G469" s="3" t="str">
        <f t="shared" si="15"/>
        <v>Saturday</v>
      </c>
      <c r="H469" t="s">
        <v>24</v>
      </c>
      <c r="I469" t="s">
        <v>19</v>
      </c>
      <c r="J469" t="s">
        <v>1002</v>
      </c>
      <c r="K469" t="s">
        <v>32</v>
      </c>
      <c r="L469">
        <v>9</v>
      </c>
    </row>
    <row r="470" spans="1:12">
      <c r="A470">
        <v>469</v>
      </c>
      <c r="B470" t="s">
        <v>1003</v>
      </c>
      <c r="C470" t="s">
        <v>995</v>
      </c>
      <c r="D470" t="s">
        <v>115</v>
      </c>
      <c r="E470" s="3">
        <v>44749</v>
      </c>
      <c r="F470" s="3" t="str">
        <f t="shared" si="14"/>
        <v>07-Jul</v>
      </c>
      <c r="G470" s="3" t="str">
        <f t="shared" si="15"/>
        <v>Thursday</v>
      </c>
      <c r="H470" t="s">
        <v>18</v>
      </c>
      <c r="I470" t="s">
        <v>19</v>
      </c>
      <c r="J470" t="s">
        <v>1004</v>
      </c>
      <c r="K470" t="s">
        <v>21</v>
      </c>
      <c r="L470">
        <v>7</v>
      </c>
    </row>
    <row r="471" spans="1:12">
      <c r="A471">
        <v>470</v>
      </c>
      <c r="B471" t="s">
        <v>1005</v>
      </c>
      <c r="C471" t="s">
        <v>997</v>
      </c>
      <c r="D471" t="s">
        <v>63</v>
      </c>
      <c r="E471" s="3">
        <v>44729</v>
      </c>
      <c r="F471" s="3" t="str">
        <f t="shared" si="14"/>
        <v>17-Jun</v>
      </c>
      <c r="G471" s="3" t="str">
        <f t="shared" si="15"/>
        <v>Friday</v>
      </c>
      <c r="H471" t="s">
        <v>24</v>
      </c>
      <c r="I471" t="s">
        <v>19</v>
      </c>
      <c r="J471" t="s">
        <v>1006</v>
      </c>
      <c r="K471" t="s">
        <v>26</v>
      </c>
      <c r="L471">
        <v>10</v>
      </c>
    </row>
    <row r="472" spans="1:12">
      <c r="A472">
        <v>471</v>
      </c>
      <c r="B472" t="s">
        <v>1007</v>
      </c>
      <c r="C472" t="s">
        <v>999</v>
      </c>
      <c r="D472" t="s">
        <v>87</v>
      </c>
      <c r="E472" s="3">
        <v>44738</v>
      </c>
      <c r="F472" s="3" t="str">
        <f t="shared" si="14"/>
        <v>26-Jun</v>
      </c>
      <c r="G472" s="3" t="str">
        <f t="shared" si="15"/>
        <v>Sunday</v>
      </c>
      <c r="H472" t="s">
        <v>18</v>
      </c>
      <c r="I472" t="s">
        <v>19</v>
      </c>
      <c r="J472" t="s">
        <v>1008</v>
      </c>
      <c r="K472" t="s">
        <v>32</v>
      </c>
      <c r="L472">
        <v>7</v>
      </c>
    </row>
    <row r="473" spans="1:12">
      <c r="A473">
        <v>472</v>
      </c>
      <c r="B473" t="s">
        <v>1009</v>
      </c>
      <c r="C473" t="s">
        <v>1001</v>
      </c>
      <c r="D473" t="s">
        <v>103</v>
      </c>
      <c r="E473" s="3">
        <v>44740</v>
      </c>
      <c r="F473" s="3" t="str">
        <f t="shared" si="14"/>
        <v>28-Jun</v>
      </c>
      <c r="G473" s="3" t="str">
        <f t="shared" si="15"/>
        <v>Tuesday</v>
      </c>
      <c r="H473" t="s">
        <v>24</v>
      </c>
      <c r="I473" t="s">
        <v>19</v>
      </c>
      <c r="J473" t="s">
        <v>1010</v>
      </c>
      <c r="K473" t="s">
        <v>21</v>
      </c>
      <c r="L473">
        <v>7</v>
      </c>
    </row>
    <row r="474" spans="1:12">
      <c r="A474">
        <v>473</v>
      </c>
      <c r="B474" t="s">
        <v>1011</v>
      </c>
      <c r="C474" t="s">
        <v>1003</v>
      </c>
      <c r="D474" t="s">
        <v>37</v>
      </c>
      <c r="E474" s="3">
        <v>44755</v>
      </c>
      <c r="F474" s="3" t="str">
        <f t="shared" si="14"/>
        <v>13-Jul</v>
      </c>
      <c r="G474" s="3" t="str">
        <f t="shared" si="15"/>
        <v>Wednesday</v>
      </c>
      <c r="H474" t="s">
        <v>24</v>
      </c>
      <c r="I474" t="s">
        <v>19</v>
      </c>
      <c r="J474" t="s">
        <v>1012</v>
      </c>
      <c r="K474" t="s">
        <v>26</v>
      </c>
      <c r="L474">
        <v>10</v>
      </c>
    </row>
    <row r="475" spans="1:12">
      <c r="A475">
        <v>474</v>
      </c>
      <c r="B475" t="s">
        <v>1013</v>
      </c>
      <c r="C475" t="s">
        <v>1005</v>
      </c>
      <c r="D475" t="s">
        <v>68</v>
      </c>
      <c r="E475" s="3">
        <v>44755</v>
      </c>
      <c r="F475" s="3" t="str">
        <f t="shared" si="14"/>
        <v>13-Jul</v>
      </c>
      <c r="G475" s="3" t="str">
        <f t="shared" si="15"/>
        <v>Wednesday</v>
      </c>
      <c r="H475" t="s">
        <v>18</v>
      </c>
      <c r="I475" t="s">
        <v>19</v>
      </c>
      <c r="J475" t="s">
        <v>1014</v>
      </c>
      <c r="K475" t="s">
        <v>32</v>
      </c>
      <c r="L475">
        <v>7</v>
      </c>
    </row>
    <row r="476" spans="1:12">
      <c r="A476">
        <v>475</v>
      </c>
      <c r="B476" t="s">
        <v>1015</v>
      </c>
      <c r="C476" t="s">
        <v>1007</v>
      </c>
      <c r="D476" t="s">
        <v>109</v>
      </c>
      <c r="E476" s="3">
        <v>44764</v>
      </c>
      <c r="F476" s="3" t="str">
        <f t="shared" si="14"/>
        <v>22-Jul</v>
      </c>
      <c r="G476" s="3" t="str">
        <f t="shared" si="15"/>
        <v>Friday</v>
      </c>
      <c r="H476" t="s">
        <v>24</v>
      </c>
      <c r="I476" t="s">
        <v>19</v>
      </c>
      <c r="J476" t="s">
        <v>1016</v>
      </c>
      <c r="K476" t="s">
        <v>21</v>
      </c>
      <c r="L476">
        <v>10</v>
      </c>
    </row>
    <row r="477" spans="1:12">
      <c r="A477">
        <v>476</v>
      </c>
      <c r="B477" t="s">
        <v>1017</v>
      </c>
      <c r="C477" t="s">
        <v>1009</v>
      </c>
      <c r="D477" t="s">
        <v>112</v>
      </c>
      <c r="E477" s="3">
        <v>44735</v>
      </c>
      <c r="F477" s="3" t="str">
        <f t="shared" si="14"/>
        <v>23-Jun</v>
      </c>
      <c r="G477" s="3" t="str">
        <f t="shared" si="15"/>
        <v>Thursday</v>
      </c>
      <c r="H477" t="s">
        <v>24</v>
      </c>
      <c r="I477" t="s">
        <v>19</v>
      </c>
      <c r="J477" t="s">
        <v>1018</v>
      </c>
      <c r="K477" t="s">
        <v>26</v>
      </c>
      <c r="L477">
        <v>9</v>
      </c>
    </row>
    <row r="478" spans="1:12">
      <c r="A478">
        <v>477</v>
      </c>
      <c r="B478" t="s">
        <v>1019</v>
      </c>
      <c r="C478" t="s">
        <v>1011</v>
      </c>
      <c r="D478" t="s">
        <v>134</v>
      </c>
      <c r="E478" s="3">
        <v>44734</v>
      </c>
      <c r="F478" s="3" t="str">
        <f t="shared" si="14"/>
        <v>22-Jun</v>
      </c>
      <c r="G478" s="3" t="str">
        <f t="shared" si="15"/>
        <v>Wednesday</v>
      </c>
      <c r="H478" t="s">
        <v>18</v>
      </c>
      <c r="I478" t="s">
        <v>19</v>
      </c>
      <c r="J478" t="s">
        <v>1020</v>
      </c>
      <c r="K478" t="s">
        <v>32</v>
      </c>
      <c r="L478">
        <v>10</v>
      </c>
    </row>
    <row r="479" spans="1:12">
      <c r="A479">
        <v>478</v>
      </c>
      <c r="B479" t="s">
        <v>1021</v>
      </c>
      <c r="C479" t="s">
        <v>1013</v>
      </c>
      <c r="D479" t="s">
        <v>277</v>
      </c>
      <c r="E479" s="3">
        <v>44728</v>
      </c>
      <c r="F479" s="3" t="str">
        <f t="shared" si="14"/>
        <v>16-Jun</v>
      </c>
      <c r="G479" s="3" t="str">
        <f t="shared" si="15"/>
        <v>Thursday</v>
      </c>
      <c r="H479" t="s">
        <v>24</v>
      </c>
      <c r="I479" t="s">
        <v>19</v>
      </c>
      <c r="J479" t="s">
        <v>1022</v>
      </c>
      <c r="K479" t="s">
        <v>21</v>
      </c>
      <c r="L479">
        <v>7</v>
      </c>
    </row>
    <row r="480" spans="1:12">
      <c r="A480">
        <v>479</v>
      </c>
      <c r="B480" t="s">
        <v>1023</v>
      </c>
      <c r="C480" t="s">
        <v>1015</v>
      </c>
      <c r="D480" t="s">
        <v>139</v>
      </c>
      <c r="E480" s="3">
        <v>44739</v>
      </c>
      <c r="F480" s="3" t="str">
        <f t="shared" si="14"/>
        <v>27-Jun</v>
      </c>
      <c r="G480" s="3" t="str">
        <f t="shared" si="15"/>
        <v>Monday</v>
      </c>
      <c r="H480" t="s">
        <v>18</v>
      </c>
      <c r="I480" t="s">
        <v>30</v>
      </c>
      <c r="J480" t="s">
        <v>1024</v>
      </c>
      <c r="K480" t="s">
        <v>26</v>
      </c>
      <c r="L480">
        <v>10</v>
      </c>
    </row>
    <row r="481" spans="1:12">
      <c r="A481">
        <v>480</v>
      </c>
      <c r="B481" t="s">
        <v>1025</v>
      </c>
      <c r="C481" t="s">
        <v>1017</v>
      </c>
      <c r="D481" t="s">
        <v>142</v>
      </c>
      <c r="E481" s="3">
        <v>44765</v>
      </c>
      <c r="F481" s="3" t="str">
        <f t="shared" si="14"/>
        <v>23-Jul</v>
      </c>
      <c r="G481" s="3" t="str">
        <f t="shared" si="15"/>
        <v>Saturday</v>
      </c>
      <c r="H481" t="s">
        <v>24</v>
      </c>
      <c r="I481" t="s">
        <v>19</v>
      </c>
      <c r="J481" t="s">
        <v>1026</v>
      </c>
      <c r="K481" t="s">
        <v>32</v>
      </c>
      <c r="L481">
        <v>10</v>
      </c>
    </row>
    <row r="482" spans="1:12">
      <c r="A482">
        <v>481</v>
      </c>
      <c r="B482" t="s">
        <v>1027</v>
      </c>
      <c r="C482" t="s">
        <v>1019</v>
      </c>
      <c r="D482" t="s">
        <v>145</v>
      </c>
      <c r="E482" s="3">
        <v>44740</v>
      </c>
      <c r="F482" s="3" t="str">
        <f t="shared" si="14"/>
        <v>28-Jun</v>
      </c>
      <c r="G482" s="3" t="str">
        <f t="shared" si="15"/>
        <v>Tuesday</v>
      </c>
      <c r="H482" t="s">
        <v>18</v>
      </c>
      <c r="I482" t="s">
        <v>19</v>
      </c>
      <c r="J482" t="s">
        <v>1028</v>
      </c>
      <c r="K482" t="s">
        <v>21</v>
      </c>
      <c r="L482">
        <v>8</v>
      </c>
    </row>
    <row r="483" spans="1:12">
      <c r="A483">
        <v>482</v>
      </c>
      <c r="B483" t="s">
        <v>1029</v>
      </c>
      <c r="C483" t="s">
        <v>1021</v>
      </c>
      <c r="D483" t="s">
        <v>148</v>
      </c>
      <c r="E483" s="3">
        <v>44734</v>
      </c>
      <c r="F483" s="3" t="str">
        <f t="shared" si="14"/>
        <v>22-Jun</v>
      </c>
      <c r="G483" s="3" t="str">
        <f t="shared" si="15"/>
        <v>Wednesday</v>
      </c>
      <c r="H483" t="s">
        <v>24</v>
      </c>
      <c r="I483" t="s">
        <v>19</v>
      </c>
      <c r="J483" t="s">
        <v>1030</v>
      </c>
      <c r="K483" t="s">
        <v>26</v>
      </c>
      <c r="L483">
        <v>10</v>
      </c>
    </row>
    <row r="484" spans="1:12">
      <c r="A484">
        <v>483</v>
      </c>
      <c r="B484" t="s">
        <v>1031</v>
      </c>
      <c r="C484" t="s">
        <v>1023</v>
      </c>
      <c r="D484" t="s">
        <v>151</v>
      </c>
      <c r="E484" s="3">
        <v>44727</v>
      </c>
      <c r="F484" s="3" t="str">
        <f t="shared" si="14"/>
        <v>15-Jun</v>
      </c>
      <c r="G484" s="3" t="str">
        <f t="shared" si="15"/>
        <v>Wednesday</v>
      </c>
      <c r="H484" t="s">
        <v>24</v>
      </c>
      <c r="I484" t="s">
        <v>19</v>
      </c>
      <c r="J484" t="s">
        <v>1032</v>
      </c>
      <c r="K484" t="s">
        <v>32</v>
      </c>
      <c r="L484">
        <v>9</v>
      </c>
    </row>
    <row r="485" spans="1:12">
      <c r="A485">
        <v>484</v>
      </c>
      <c r="B485" t="s">
        <v>1033</v>
      </c>
      <c r="C485" t="s">
        <v>1025</v>
      </c>
      <c r="D485" t="s">
        <v>154</v>
      </c>
      <c r="E485" s="3">
        <v>44737</v>
      </c>
      <c r="F485" s="3" t="str">
        <f t="shared" si="14"/>
        <v>25-Jun</v>
      </c>
      <c r="G485" s="3" t="str">
        <f t="shared" si="15"/>
        <v>Saturday</v>
      </c>
      <c r="H485" t="s">
        <v>18</v>
      </c>
      <c r="I485" t="s">
        <v>19</v>
      </c>
      <c r="J485" t="s">
        <v>1034</v>
      </c>
      <c r="K485" t="s">
        <v>21</v>
      </c>
      <c r="L485">
        <v>9</v>
      </c>
    </row>
    <row r="486" spans="1:12">
      <c r="A486">
        <v>485</v>
      </c>
      <c r="B486" t="s">
        <v>1035</v>
      </c>
      <c r="C486" t="s">
        <v>1027</v>
      </c>
      <c r="D486" t="s">
        <v>84</v>
      </c>
      <c r="E486" s="3">
        <v>44747</v>
      </c>
      <c r="F486" s="3" t="str">
        <f t="shared" si="14"/>
        <v>05-Jul</v>
      </c>
      <c r="G486" s="3" t="str">
        <f t="shared" si="15"/>
        <v>Tuesday</v>
      </c>
      <c r="H486" t="s">
        <v>24</v>
      </c>
      <c r="I486" t="s">
        <v>30</v>
      </c>
      <c r="J486" t="s">
        <v>1036</v>
      </c>
      <c r="K486" t="s">
        <v>26</v>
      </c>
      <c r="L486">
        <v>9</v>
      </c>
    </row>
    <row r="487" spans="1:12">
      <c r="A487">
        <v>486</v>
      </c>
      <c r="B487" t="s">
        <v>1037</v>
      </c>
      <c r="C487" t="s">
        <v>1029</v>
      </c>
      <c r="D487" t="s">
        <v>87</v>
      </c>
      <c r="E487" s="3">
        <v>44754</v>
      </c>
      <c r="F487" s="3" t="str">
        <f t="shared" si="14"/>
        <v>12-Jul</v>
      </c>
      <c r="G487" s="3" t="str">
        <f t="shared" si="15"/>
        <v>Tuesday</v>
      </c>
      <c r="H487" t="s">
        <v>18</v>
      </c>
      <c r="I487" t="s">
        <v>19</v>
      </c>
      <c r="J487" t="s">
        <v>1038</v>
      </c>
      <c r="K487" t="s">
        <v>32</v>
      </c>
      <c r="L487">
        <v>10</v>
      </c>
    </row>
    <row r="488" spans="1:12">
      <c r="A488">
        <v>487</v>
      </c>
      <c r="B488" t="s">
        <v>1039</v>
      </c>
      <c r="C488" t="s">
        <v>1031</v>
      </c>
      <c r="D488" t="s">
        <v>90</v>
      </c>
      <c r="E488" s="3">
        <v>44760</v>
      </c>
      <c r="F488" s="3" t="str">
        <f t="shared" si="14"/>
        <v>18-Jul</v>
      </c>
      <c r="G488" s="3" t="str">
        <f t="shared" si="15"/>
        <v>Monday</v>
      </c>
      <c r="H488" t="s">
        <v>24</v>
      </c>
      <c r="I488" t="s">
        <v>19</v>
      </c>
      <c r="J488" t="s">
        <v>1040</v>
      </c>
      <c r="K488" t="s">
        <v>21</v>
      </c>
      <c r="L488">
        <v>9</v>
      </c>
    </row>
    <row r="489" spans="1:12">
      <c r="A489">
        <v>488</v>
      </c>
      <c r="B489" t="s">
        <v>1041</v>
      </c>
      <c r="C489" t="s">
        <v>1033</v>
      </c>
      <c r="D489" t="s">
        <v>93</v>
      </c>
      <c r="E489" s="3">
        <v>44759</v>
      </c>
      <c r="F489" s="3" t="str">
        <f t="shared" si="14"/>
        <v>17-Jul</v>
      </c>
      <c r="G489" s="3" t="str">
        <f t="shared" si="15"/>
        <v>Sunday</v>
      </c>
      <c r="H489" t="s">
        <v>18</v>
      </c>
      <c r="I489" t="s">
        <v>19</v>
      </c>
      <c r="J489" t="s">
        <v>1042</v>
      </c>
      <c r="K489" t="s">
        <v>26</v>
      </c>
      <c r="L489">
        <v>10</v>
      </c>
    </row>
    <row r="490" spans="1:12">
      <c r="A490">
        <v>489</v>
      </c>
      <c r="B490" t="s">
        <v>1043</v>
      </c>
      <c r="C490" t="s">
        <v>1035</v>
      </c>
      <c r="D490" t="s">
        <v>96</v>
      </c>
      <c r="E490" s="3">
        <v>44735</v>
      </c>
      <c r="F490" s="3" t="str">
        <f t="shared" si="14"/>
        <v>23-Jun</v>
      </c>
      <c r="G490" s="3" t="str">
        <f t="shared" si="15"/>
        <v>Thursday</v>
      </c>
      <c r="H490" t="s">
        <v>24</v>
      </c>
      <c r="I490" t="s">
        <v>19</v>
      </c>
      <c r="J490" t="s">
        <v>1044</v>
      </c>
      <c r="K490" t="s">
        <v>32</v>
      </c>
      <c r="L490">
        <v>9</v>
      </c>
    </row>
    <row r="491" spans="1:12">
      <c r="A491">
        <v>490</v>
      </c>
      <c r="B491" t="s">
        <v>1045</v>
      </c>
      <c r="C491" t="s">
        <v>1037</v>
      </c>
      <c r="D491" t="s">
        <v>99</v>
      </c>
      <c r="E491" s="3">
        <v>44734</v>
      </c>
      <c r="F491" s="3" t="str">
        <f t="shared" si="14"/>
        <v>22-Jun</v>
      </c>
      <c r="G491" s="3" t="str">
        <f t="shared" si="15"/>
        <v>Wednesday</v>
      </c>
      <c r="H491" t="s">
        <v>29</v>
      </c>
      <c r="I491" t="s">
        <v>19</v>
      </c>
      <c r="J491" t="s">
        <v>1046</v>
      </c>
      <c r="K491" t="s">
        <v>21</v>
      </c>
      <c r="L491">
        <v>8</v>
      </c>
    </row>
    <row r="492" spans="1:12">
      <c r="A492">
        <v>491</v>
      </c>
      <c r="B492" t="s">
        <v>1047</v>
      </c>
      <c r="C492" t="s">
        <v>1039</v>
      </c>
      <c r="D492" t="s">
        <v>103</v>
      </c>
      <c r="E492" s="3">
        <v>44753</v>
      </c>
      <c r="F492" s="3" t="str">
        <f t="shared" si="14"/>
        <v>11-Jul</v>
      </c>
      <c r="G492" s="3" t="str">
        <f t="shared" si="15"/>
        <v>Monday</v>
      </c>
      <c r="H492" t="s">
        <v>18</v>
      </c>
      <c r="I492" t="s">
        <v>19</v>
      </c>
      <c r="J492" t="s">
        <v>1048</v>
      </c>
      <c r="K492" t="s">
        <v>26</v>
      </c>
      <c r="L492">
        <v>7</v>
      </c>
    </row>
    <row r="493" spans="1:12">
      <c r="A493">
        <v>492</v>
      </c>
      <c r="B493" t="s">
        <v>1049</v>
      </c>
      <c r="C493" t="s">
        <v>1041</v>
      </c>
      <c r="D493" t="s">
        <v>106</v>
      </c>
      <c r="E493" s="3">
        <v>44739</v>
      </c>
      <c r="F493" s="3" t="str">
        <f t="shared" si="14"/>
        <v>27-Jun</v>
      </c>
      <c r="G493" s="3" t="str">
        <f t="shared" si="15"/>
        <v>Monday</v>
      </c>
      <c r="H493" t="s">
        <v>24</v>
      </c>
      <c r="I493" t="s">
        <v>19</v>
      </c>
      <c r="J493" t="s">
        <v>1050</v>
      </c>
      <c r="K493" t="s">
        <v>32</v>
      </c>
      <c r="L493">
        <v>10</v>
      </c>
    </row>
    <row r="494" spans="1:12">
      <c r="A494">
        <v>493</v>
      </c>
      <c r="B494" t="s">
        <v>1051</v>
      </c>
      <c r="C494" t="s">
        <v>1043</v>
      </c>
      <c r="D494" t="s">
        <v>109</v>
      </c>
      <c r="E494" s="3">
        <v>44740</v>
      </c>
      <c r="F494" s="3" t="str">
        <f t="shared" si="14"/>
        <v>28-Jun</v>
      </c>
      <c r="G494" s="3" t="str">
        <f t="shared" si="15"/>
        <v>Tuesday</v>
      </c>
      <c r="H494" t="s">
        <v>24</v>
      </c>
      <c r="I494" t="s">
        <v>19</v>
      </c>
      <c r="J494" t="s">
        <v>1052</v>
      </c>
      <c r="K494" t="s">
        <v>21</v>
      </c>
      <c r="L494">
        <v>7</v>
      </c>
    </row>
    <row r="495" spans="1:12">
      <c r="A495">
        <v>494</v>
      </c>
      <c r="B495" t="s">
        <v>1053</v>
      </c>
      <c r="C495" t="s">
        <v>1045</v>
      </c>
      <c r="D495" t="s">
        <v>112</v>
      </c>
      <c r="E495" s="3">
        <v>44748</v>
      </c>
      <c r="F495" s="3" t="str">
        <f t="shared" si="14"/>
        <v>06-Jul</v>
      </c>
      <c r="G495" s="3" t="str">
        <f t="shared" si="15"/>
        <v>Wednesday</v>
      </c>
      <c r="H495" t="s">
        <v>18</v>
      </c>
      <c r="I495" t="s">
        <v>19</v>
      </c>
      <c r="J495" t="s">
        <v>1054</v>
      </c>
      <c r="K495" t="s">
        <v>26</v>
      </c>
      <c r="L495">
        <v>8</v>
      </c>
    </row>
    <row r="496" spans="1:12">
      <c r="A496">
        <v>495</v>
      </c>
      <c r="B496" t="s">
        <v>1055</v>
      </c>
      <c r="C496" t="s">
        <v>1047</v>
      </c>
      <c r="D496" t="s">
        <v>17</v>
      </c>
      <c r="E496" s="3">
        <v>44731</v>
      </c>
      <c r="F496" s="3" t="str">
        <f t="shared" si="14"/>
        <v>19-Jun</v>
      </c>
      <c r="G496" s="3" t="str">
        <f t="shared" si="15"/>
        <v>Sunday</v>
      </c>
      <c r="H496" t="s">
        <v>24</v>
      </c>
      <c r="I496" t="s">
        <v>19</v>
      </c>
      <c r="J496" t="s">
        <v>1056</v>
      </c>
      <c r="K496" t="s">
        <v>32</v>
      </c>
      <c r="L496">
        <v>9</v>
      </c>
    </row>
    <row r="497" spans="1:12">
      <c r="A497">
        <v>496</v>
      </c>
      <c r="B497" t="s">
        <v>1057</v>
      </c>
      <c r="C497" t="s">
        <v>1049</v>
      </c>
      <c r="D497" t="s">
        <v>23</v>
      </c>
      <c r="E497" s="3">
        <v>44763</v>
      </c>
      <c r="F497" s="3" t="str">
        <f t="shared" si="14"/>
        <v>21-Jul</v>
      </c>
      <c r="G497" s="3" t="str">
        <f t="shared" si="15"/>
        <v>Thursday</v>
      </c>
      <c r="H497" t="s">
        <v>18</v>
      </c>
      <c r="I497" t="s">
        <v>19</v>
      </c>
      <c r="J497" t="s">
        <v>1058</v>
      </c>
      <c r="K497" t="s">
        <v>21</v>
      </c>
      <c r="L497">
        <v>9</v>
      </c>
    </row>
    <row r="498" spans="1:12">
      <c r="A498">
        <v>497</v>
      </c>
      <c r="B498" t="s">
        <v>1059</v>
      </c>
      <c r="C498" t="s">
        <v>1051</v>
      </c>
      <c r="D498" t="s">
        <v>28</v>
      </c>
      <c r="E498" s="3">
        <v>44733</v>
      </c>
      <c r="F498" s="3" t="str">
        <f t="shared" si="14"/>
        <v>21-Jun</v>
      </c>
      <c r="G498" s="3" t="str">
        <f t="shared" si="15"/>
        <v>Tuesday</v>
      </c>
      <c r="H498" t="s">
        <v>24</v>
      </c>
      <c r="I498" t="s">
        <v>19</v>
      </c>
      <c r="J498" t="s">
        <v>1060</v>
      </c>
      <c r="K498" t="s">
        <v>26</v>
      </c>
      <c r="L498">
        <v>9</v>
      </c>
    </row>
    <row r="499" spans="1:12">
      <c r="A499">
        <v>498</v>
      </c>
      <c r="B499" t="s">
        <v>1061</v>
      </c>
      <c r="C499" t="s">
        <v>1053</v>
      </c>
      <c r="D499" t="s">
        <v>34</v>
      </c>
      <c r="E499" s="3">
        <v>44746</v>
      </c>
      <c r="F499" s="3" t="str">
        <f t="shared" si="14"/>
        <v>04-Jul</v>
      </c>
      <c r="G499" s="3" t="str">
        <f t="shared" si="15"/>
        <v>Monday</v>
      </c>
      <c r="H499" t="s">
        <v>24</v>
      </c>
      <c r="I499" t="s">
        <v>19</v>
      </c>
      <c r="J499" t="s">
        <v>1062</v>
      </c>
      <c r="K499" t="s">
        <v>32</v>
      </c>
      <c r="L499">
        <v>9</v>
      </c>
    </row>
    <row r="500" spans="1:12">
      <c r="A500">
        <v>499</v>
      </c>
      <c r="B500" t="s">
        <v>1063</v>
      </c>
      <c r="C500" t="s">
        <v>1055</v>
      </c>
      <c r="D500" t="s">
        <v>37</v>
      </c>
      <c r="E500" s="3">
        <v>44755</v>
      </c>
      <c r="F500" s="3" t="str">
        <f t="shared" si="14"/>
        <v>13-Jul</v>
      </c>
      <c r="G500" s="3" t="str">
        <f t="shared" si="15"/>
        <v>Wednesday</v>
      </c>
      <c r="H500" t="s">
        <v>18</v>
      </c>
      <c r="I500" t="s">
        <v>19</v>
      </c>
      <c r="J500" t="s">
        <v>1064</v>
      </c>
      <c r="K500" t="s">
        <v>21</v>
      </c>
      <c r="L500">
        <v>9</v>
      </c>
    </row>
    <row r="501" spans="1:12">
      <c r="A501">
        <v>500</v>
      </c>
      <c r="B501" t="s">
        <v>1065</v>
      </c>
      <c r="C501" t="s">
        <v>1057</v>
      </c>
      <c r="D501" t="s">
        <v>40</v>
      </c>
      <c r="E501" s="3">
        <v>44787</v>
      </c>
      <c r="F501" s="3" t="str">
        <f t="shared" si="14"/>
        <v>14-Aug</v>
      </c>
      <c r="G501" s="3" t="str">
        <f t="shared" si="15"/>
        <v>Sunday</v>
      </c>
      <c r="H501" t="s">
        <v>24</v>
      </c>
      <c r="I501" t="s">
        <v>19</v>
      </c>
      <c r="J501" t="s">
        <v>1066</v>
      </c>
      <c r="K501" t="s">
        <v>21</v>
      </c>
      <c r="L501">
        <v>7</v>
      </c>
    </row>
    <row r="502" spans="1:12">
      <c r="A502">
        <v>501</v>
      </c>
      <c r="B502" t="s">
        <v>1067</v>
      </c>
      <c r="C502" t="s">
        <v>1059</v>
      </c>
      <c r="D502" t="s">
        <v>17</v>
      </c>
      <c r="E502" s="3">
        <v>44799</v>
      </c>
      <c r="F502" s="3" t="str">
        <f t="shared" si="14"/>
        <v>26-Aug</v>
      </c>
      <c r="G502" s="3" t="str">
        <f t="shared" si="15"/>
        <v>Friday</v>
      </c>
      <c r="H502" t="s">
        <v>18</v>
      </c>
      <c r="I502" t="s">
        <v>19</v>
      </c>
      <c r="J502" t="s">
        <v>1068</v>
      </c>
      <c r="K502" t="s">
        <v>21</v>
      </c>
      <c r="L502">
        <v>9</v>
      </c>
    </row>
    <row r="503" spans="1:12">
      <c r="A503">
        <v>502</v>
      </c>
      <c r="B503" t="s">
        <v>1069</v>
      </c>
      <c r="C503" t="s">
        <v>1061</v>
      </c>
      <c r="D503" t="s">
        <v>23</v>
      </c>
      <c r="E503" s="3">
        <v>44802</v>
      </c>
      <c r="F503" s="3" t="str">
        <f t="shared" si="14"/>
        <v>29-Aug</v>
      </c>
      <c r="G503" s="3" t="str">
        <f t="shared" si="15"/>
        <v>Monday</v>
      </c>
      <c r="H503" t="s">
        <v>24</v>
      </c>
      <c r="I503" t="s">
        <v>19</v>
      </c>
      <c r="J503" t="s">
        <v>1070</v>
      </c>
      <c r="K503" t="s">
        <v>26</v>
      </c>
      <c r="L503">
        <v>7</v>
      </c>
    </row>
    <row r="504" spans="1:12">
      <c r="A504">
        <v>503</v>
      </c>
      <c r="B504" t="s">
        <v>1071</v>
      </c>
      <c r="C504" t="s">
        <v>1063</v>
      </c>
      <c r="D504" t="s">
        <v>28</v>
      </c>
      <c r="E504" s="3">
        <v>44774</v>
      </c>
      <c r="F504" s="3" t="str">
        <f t="shared" si="14"/>
        <v>01-Aug</v>
      </c>
      <c r="G504" s="3" t="str">
        <f t="shared" si="15"/>
        <v>Monday</v>
      </c>
      <c r="H504" t="s">
        <v>29</v>
      </c>
      <c r="I504" t="s">
        <v>30</v>
      </c>
      <c r="J504" t="s">
        <v>1072</v>
      </c>
      <c r="K504" t="s">
        <v>32</v>
      </c>
      <c r="L504">
        <v>8</v>
      </c>
    </row>
    <row r="505" spans="1:12">
      <c r="A505">
        <v>504</v>
      </c>
      <c r="B505" t="s">
        <v>1073</v>
      </c>
      <c r="C505" t="s">
        <v>1065</v>
      </c>
      <c r="D505" t="s">
        <v>34</v>
      </c>
      <c r="E505" s="3">
        <v>44800</v>
      </c>
      <c r="F505" s="3" t="str">
        <f t="shared" si="14"/>
        <v>27-Aug</v>
      </c>
      <c r="G505" s="3" t="str">
        <f t="shared" si="15"/>
        <v>Saturday</v>
      </c>
      <c r="H505" t="s">
        <v>18</v>
      </c>
      <c r="I505" t="s">
        <v>19</v>
      </c>
      <c r="J505" t="s">
        <v>1074</v>
      </c>
      <c r="K505" t="s">
        <v>21</v>
      </c>
      <c r="L505">
        <v>6</v>
      </c>
    </row>
    <row r="506" spans="1:12">
      <c r="A506">
        <v>505</v>
      </c>
      <c r="B506" t="s">
        <v>1075</v>
      </c>
      <c r="C506" t="s">
        <v>1067</v>
      </c>
      <c r="D506" t="s">
        <v>37</v>
      </c>
      <c r="E506" s="3">
        <v>44797</v>
      </c>
      <c r="F506" s="3" t="str">
        <f t="shared" si="14"/>
        <v>24-Aug</v>
      </c>
      <c r="G506" s="3" t="str">
        <f t="shared" si="15"/>
        <v>Wednesday</v>
      </c>
      <c r="H506" t="s">
        <v>24</v>
      </c>
      <c r="I506" t="s">
        <v>19</v>
      </c>
      <c r="J506" t="s">
        <v>1076</v>
      </c>
      <c r="K506" t="s">
        <v>26</v>
      </c>
      <c r="L506">
        <v>2</v>
      </c>
    </row>
    <row r="507" spans="1:12">
      <c r="A507">
        <v>506</v>
      </c>
      <c r="B507" t="s">
        <v>1077</v>
      </c>
      <c r="C507" t="s">
        <v>1069</v>
      </c>
      <c r="D507" t="s">
        <v>40</v>
      </c>
      <c r="E507" s="3">
        <v>44766</v>
      </c>
      <c r="F507" s="3" t="str">
        <f t="shared" si="14"/>
        <v>24-Jul</v>
      </c>
      <c r="G507" s="3" t="str">
        <f t="shared" si="15"/>
        <v>Sunday</v>
      </c>
      <c r="H507" t="s">
        <v>24</v>
      </c>
      <c r="I507" t="s">
        <v>19</v>
      </c>
      <c r="J507" t="s">
        <v>1078</v>
      </c>
      <c r="K507" t="s">
        <v>32</v>
      </c>
      <c r="L507">
        <v>4</v>
      </c>
    </row>
    <row r="508" spans="1:12">
      <c r="A508">
        <v>507</v>
      </c>
      <c r="B508" t="s">
        <v>1079</v>
      </c>
      <c r="C508" t="s">
        <v>1071</v>
      </c>
      <c r="D508" t="s">
        <v>43</v>
      </c>
      <c r="E508" s="3">
        <v>44782</v>
      </c>
      <c r="F508" s="3" t="str">
        <f t="shared" si="14"/>
        <v>09-Aug</v>
      </c>
      <c r="G508" s="3" t="str">
        <f t="shared" si="15"/>
        <v>Tuesday</v>
      </c>
      <c r="H508" t="s">
        <v>18</v>
      </c>
      <c r="I508" t="s">
        <v>19</v>
      </c>
      <c r="J508" t="s">
        <v>1080</v>
      </c>
      <c r="K508" t="s">
        <v>21</v>
      </c>
      <c r="L508">
        <v>1</v>
      </c>
    </row>
    <row r="509" spans="1:12">
      <c r="A509">
        <v>508</v>
      </c>
      <c r="B509" t="s">
        <v>1081</v>
      </c>
      <c r="C509" t="s">
        <v>1073</v>
      </c>
      <c r="D509" t="s">
        <v>43</v>
      </c>
      <c r="E509" s="3">
        <v>44790</v>
      </c>
      <c r="F509" s="3" t="str">
        <f t="shared" si="14"/>
        <v>17-Aug</v>
      </c>
      <c r="G509" s="3" t="str">
        <f t="shared" si="15"/>
        <v>Wednesday</v>
      </c>
      <c r="H509" t="s">
        <v>24</v>
      </c>
      <c r="I509" t="s">
        <v>19</v>
      </c>
      <c r="J509" t="s">
        <v>1082</v>
      </c>
      <c r="K509" t="s">
        <v>26</v>
      </c>
      <c r="L509">
        <v>9</v>
      </c>
    </row>
    <row r="510" spans="1:12">
      <c r="A510">
        <v>509</v>
      </c>
      <c r="B510" t="s">
        <v>1083</v>
      </c>
      <c r="C510" t="s">
        <v>1075</v>
      </c>
      <c r="D510" t="s">
        <v>49</v>
      </c>
      <c r="E510" s="3">
        <v>44770</v>
      </c>
      <c r="F510" s="3" t="str">
        <f t="shared" si="14"/>
        <v>28-Jul</v>
      </c>
      <c r="G510" s="3" t="str">
        <f t="shared" si="15"/>
        <v>Thursday</v>
      </c>
      <c r="H510" t="s">
        <v>24</v>
      </c>
      <c r="I510" t="s">
        <v>30</v>
      </c>
      <c r="J510" t="s">
        <v>1084</v>
      </c>
      <c r="K510" t="s">
        <v>32</v>
      </c>
      <c r="L510">
        <v>6</v>
      </c>
    </row>
    <row r="511" spans="1:12">
      <c r="A511">
        <v>510</v>
      </c>
      <c r="B511" t="s">
        <v>1085</v>
      </c>
      <c r="C511" t="s">
        <v>1077</v>
      </c>
      <c r="D511" t="s">
        <v>40</v>
      </c>
      <c r="E511" s="3">
        <v>44759</v>
      </c>
      <c r="F511" s="3" t="str">
        <f t="shared" si="14"/>
        <v>17-Jul</v>
      </c>
      <c r="G511" s="3" t="str">
        <f t="shared" si="15"/>
        <v>Sunday</v>
      </c>
      <c r="H511" t="s">
        <v>18</v>
      </c>
      <c r="I511" t="s">
        <v>19</v>
      </c>
      <c r="J511" t="s">
        <v>1086</v>
      </c>
      <c r="K511" t="s">
        <v>21</v>
      </c>
      <c r="L511">
        <v>9</v>
      </c>
    </row>
    <row r="512" spans="1:12">
      <c r="A512">
        <v>511</v>
      </c>
      <c r="B512" t="s">
        <v>1087</v>
      </c>
      <c r="C512" t="s">
        <v>1079</v>
      </c>
      <c r="D512" t="s">
        <v>54</v>
      </c>
      <c r="E512" s="3">
        <v>44776</v>
      </c>
      <c r="F512" s="3" t="str">
        <f t="shared" si="14"/>
        <v>03-Aug</v>
      </c>
      <c r="G512" s="3" t="str">
        <f t="shared" si="15"/>
        <v>Wednesday</v>
      </c>
      <c r="H512" t="s">
        <v>24</v>
      </c>
      <c r="I512" t="s">
        <v>19</v>
      </c>
      <c r="J512" t="s">
        <v>1088</v>
      </c>
      <c r="K512" t="s">
        <v>26</v>
      </c>
      <c r="L512">
        <v>9</v>
      </c>
    </row>
    <row r="513" spans="1:12">
      <c r="A513">
        <v>512</v>
      </c>
      <c r="B513" t="s">
        <v>1089</v>
      </c>
      <c r="C513" t="s">
        <v>1081</v>
      </c>
      <c r="D513" t="s">
        <v>57</v>
      </c>
      <c r="E513" s="3">
        <v>44757</v>
      </c>
      <c r="F513" s="3" t="str">
        <f t="shared" si="14"/>
        <v>15-Jul</v>
      </c>
      <c r="G513" s="3" t="str">
        <f t="shared" si="15"/>
        <v>Friday</v>
      </c>
      <c r="H513" t="s">
        <v>29</v>
      </c>
      <c r="I513" t="s">
        <v>19</v>
      </c>
      <c r="J513" t="s">
        <v>1090</v>
      </c>
      <c r="K513" t="s">
        <v>32</v>
      </c>
      <c r="L513">
        <v>3</v>
      </c>
    </row>
    <row r="514" spans="1:12">
      <c r="A514">
        <v>513</v>
      </c>
      <c r="B514" t="s">
        <v>1091</v>
      </c>
      <c r="C514" t="s">
        <v>1083</v>
      </c>
      <c r="D514" t="s">
        <v>60</v>
      </c>
      <c r="E514" s="3">
        <v>44771</v>
      </c>
      <c r="F514" s="3" t="str">
        <f t="shared" ref="F514:F577" si="16">TEXT(E514,"dd-mmm")</f>
        <v>29-Jul</v>
      </c>
      <c r="G514" s="3" t="str">
        <f t="shared" ref="G514:G577" si="17">TEXT(E514,"dddd")</f>
        <v>Friday</v>
      </c>
      <c r="H514" t="s">
        <v>18</v>
      </c>
      <c r="I514" t="s">
        <v>19</v>
      </c>
      <c r="J514" t="s">
        <v>1092</v>
      </c>
      <c r="K514" t="s">
        <v>21</v>
      </c>
      <c r="L514">
        <v>2</v>
      </c>
    </row>
    <row r="515" spans="1:12">
      <c r="A515">
        <v>514</v>
      </c>
      <c r="B515" t="s">
        <v>1093</v>
      </c>
      <c r="C515" t="s">
        <v>1085</v>
      </c>
      <c r="D515" t="s">
        <v>63</v>
      </c>
      <c r="E515" s="3">
        <v>44788</v>
      </c>
      <c r="F515" s="3" t="str">
        <f t="shared" si="16"/>
        <v>15-Aug</v>
      </c>
      <c r="G515" s="3" t="str">
        <f t="shared" si="17"/>
        <v>Monday</v>
      </c>
      <c r="H515" t="s">
        <v>24</v>
      </c>
      <c r="I515" t="s">
        <v>19</v>
      </c>
      <c r="J515" t="s">
        <v>1094</v>
      </c>
      <c r="K515" t="s">
        <v>26</v>
      </c>
      <c r="L515">
        <v>3</v>
      </c>
    </row>
    <row r="516" spans="1:12">
      <c r="A516">
        <v>515</v>
      </c>
      <c r="B516" t="s">
        <v>1095</v>
      </c>
      <c r="C516" t="s">
        <v>1087</v>
      </c>
      <c r="D516" t="s">
        <v>40</v>
      </c>
      <c r="E516" s="3">
        <v>44762</v>
      </c>
      <c r="F516" s="3" t="str">
        <f t="shared" si="16"/>
        <v>20-Jul</v>
      </c>
      <c r="G516" s="3" t="str">
        <f t="shared" si="17"/>
        <v>Wednesday</v>
      </c>
      <c r="H516" t="s">
        <v>29</v>
      </c>
      <c r="I516" t="s">
        <v>30</v>
      </c>
      <c r="J516" t="s">
        <v>1096</v>
      </c>
      <c r="K516" t="s">
        <v>32</v>
      </c>
      <c r="L516">
        <v>10</v>
      </c>
    </row>
    <row r="517" spans="1:12">
      <c r="A517">
        <v>516</v>
      </c>
      <c r="B517" t="s">
        <v>1097</v>
      </c>
      <c r="C517" t="s">
        <v>1089</v>
      </c>
      <c r="D517" t="s">
        <v>68</v>
      </c>
      <c r="E517" s="3">
        <v>44789</v>
      </c>
      <c r="F517" s="3" t="str">
        <f t="shared" si="16"/>
        <v>16-Aug</v>
      </c>
      <c r="G517" s="3" t="str">
        <f t="shared" si="17"/>
        <v>Tuesday</v>
      </c>
      <c r="H517" t="s">
        <v>18</v>
      </c>
      <c r="I517" t="s">
        <v>19</v>
      </c>
      <c r="J517" t="s">
        <v>1098</v>
      </c>
      <c r="K517" t="s">
        <v>21</v>
      </c>
      <c r="L517">
        <v>3</v>
      </c>
    </row>
    <row r="518" spans="1:12">
      <c r="A518">
        <v>517</v>
      </c>
      <c r="B518" t="s">
        <v>1099</v>
      </c>
      <c r="C518" t="s">
        <v>1091</v>
      </c>
      <c r="D518" t="s">
        <v>57</v>
      </c>
      <c r="E518" s="3">
        <v>44761</v>
      </c>
      <c r="F518" s="3" t="str">
        <f t="shared" si="16"/>
        <v>19-Jul</v>
      </c>
      <c r="G518" s="3" t="str">
        <f t="shared" si="17"/>
        <v>Tuesday</v>
      </c>
      <c r="H518" t="s">
        <v>24</v>
      </c>
      <c r="I518" t="s">
        <v>19</v>
      </c>
      <c r="J518" t="s">
        <v>1100</v>
      </c>
      <c r="K518" t="s">
        <v>26</v>
      </c>
      <c r="L518">
        <v>1</v>
      </c>
    </row>
    <row r="519" spans="1:12">
      <c r="A519">
        <v>518</v>
      </c>
      <c r="B519" t="s">
        <v>1101</v>
      </c>
      <c r="C519" t="s">
        <v>1093</v>
      </c>
      <c r="D519" t="s">
        <v>37</v>
      </c>
      <c r="E519" s="3">
        <v>44790</v>
      </c>
      <c r="F519" s="3" t="str">
        <f t="shared" si="16"/>
        <v>17-Aug</v>
      </c>
      <c r="G519" s="3" t="str">
        <f t="shared" si="17"/>
        <v>Wednesday</v>
      </c>
      <c r="H519" t="s">
        <v>29</v>
      </c>
      <c r="I519" t="s">
        <v>19</v>
      </c>
      <c r="J519" t="s">
        <v>1102</v>
      </c>
      <c r="K519" t="s">
        <v>32</v>
      </c>
      <c r="L519">
        <v>5</v>
      </c>
    </row>
    <row r="520" spans="1:12">
      <c r="A520">
        <v>519</v>
      </c>
      <c r="B520" t="s">
        <v>1103</v>
      </c>
      <c r="C520" t="s">
        <v>1095</v>
      </c>
      <c r="D520" t="s">
        <v>75</v>
      </c>
      <c r="E520" s="3">
        <v>44782</v>
      </c>
      <c r="F520" s="3" t="str">
        <f t="shared" si="16"/>
        <v>09-Aug</v>
      </c>
      <c r="G520" s="3" t="str">
        <f t="shared" si="17"/>
        <v>Tuesday</v>
      </c>
      <c r="H520" t="s">
        <v>18</v>
      </c>
      <c r="I520" t="s">
        <v>19</v>
      </c>
      <c r="J520" t="s">
        <v>1104</v>
      </c>
      <c r="K520" t="s">
        <v>21</v>
      </c>
      <c r="L520">
        <v>1</v>
      </c>
    </row>
    <row r="521" spans="1:12">
      <c r="A521">
        <v>520</v>
      </c>
      <c r="B521" t="s">
        <v>1105</v>
      </c>
      <c r="C521" t="s">
        <v>1097</v>
      </c>
      <c r="D521" t="s">
        <v>78</v>
      </c>
      <c r="E521" s="3">
        <v>44802</v>
      </c>
      <c r="F521" s="3" t="str">
        <f t="shared" si="16"/>
        <v>29-Aug</v>
      </c>
      <c r="G521" s="3" t="str">
        <f t="shared" si="17"/>
        <v>Monday</v>
      </c>
      <c r="H521" t="s">
        <v>24</v>
      </c>
      <c r="I521" t="s">
        <v>19</v>
      </c>
      <c r="J521" t="s">
        <v>1106</v>
      </c>
      <c r="K521" t="s">
        <v>26</v>
      </c>
      <c r="L521">
        <v>5</v>
      </c>
    </row>
    <row r="522" spans="1:12">
      <c r="A522">
        <v>521</v>
      </c>
      <c r="B522" t="s">
        <v>1107</v>
      </c>
      <c r="C522" t="s">
        <v>1099</v>
      </c>
      <c r="D522" t="s">
        <v>81</v>
      </c>
      <c r="E522" s="3">
        <v>44791</v>
      </c>
      <c r="F522" s="3" t="str">
        <f t="shared" si="16"/>
        <v>18-Aug</v>
      </c>
      <c r="G522" s="3" t="str">
        <f t="shared" si="17"/>
        <v>Thursday</v>
      </c>
      <c r="H522" t="s">
        <v>24</v>
      </c>
      <c r="I522" t="s">
        <v>30</v>
      </c>
      <c r="J522" t="s">
        <v>1108</v>
      </c>
      <c r="K522" t="s">
        <v>32</v>
      </c>
      <c r="L522">
        <v>5</v>
      </c>
    </row>
    <row r="523" spans="1:12">
      <c r="A523">
        <v>522</v>
      </c>
      <c r="B523" t="s">
        <v>1109</v>
      </c>
      <c r="C523" t="s">
        <v>1101</v>
      </c>
      <c r="D523" t="s">
        <v>84</v>
      </c>
      <c r="E523" s="3">
        <v>44795</v>
      </c>
      <c r="F523" s="3" t="str">
        <f t="shared" si="16"/>
        <v>22-Aug</v>
      </c>
      <c r="G523" s="3" t="str">
        <f t="shared" si="17"/>
        <v>Monday</v>
      </c>
      <c r="H523" t="s">
        <v>18</v>
      </c>
      <c r="I523" t="s">
        <v>19</v>
      </c>
      <c r="J523" t="s">
        <v>1110</v>
      </c>
      <c r="K523" t="s">
        <v>21</v>
      </c>
      <c r="L523">
        <v>3</v>
      </c>
    </row>
    <row r="524" spans="1:12">
      <c r="A524">
        <v>523</v>
      </c>
      <c r="B524" t="s">
        <v>1111</v>
      </c>
      <c r="C524" t="s">
        <v>1103</v>
      </c>
      <c r="D524" t="s">
        <v>87</v>
      </c>
      <c r="E524" s="3">
        <v>44759</v>
      </c>
      <c r="F524" s="3" t="str">
        <f t="shared" si="16"/>
        <v>17-Jul</v>
      </c>
      <c r="G524" s="3" t="str">
        <f t="shared" si="17"/>
        <v>Sunday</v>
      </c>
      <c r="H524" t="s">
        <v>24</v>
      </c>
      <c r="I524" t="s">
        <v>19</v>
      </c>
      <c r="J524" t="s">
        <v>1112</v>
      </c>
      <c r="K524" t="s">
        <v>26</v>
      </c>
      <c r="L524">
        <v>3</v>
      </c>
    </row>
    <row r="525" spans="1:12">
      <c r="A525">
        <v>524</v>
      </c>
      <c r="B525" t="s">
        <v>1113</v>
      </c>
      <c r="C525" t="s">
        <v>1105</v>
      </c>
      <c r="D525" t="s">
        <v>90</v>
      </c>
      <c r="E525" s="3">
        <v>44756</v>
      </c>
      <c r="F525" s="3" t="str">
        <f t="shared" si="16"/>
        <v>14-Jul</v>
      </c>
      <c r="G525" s="3" t="str">
        <f t="shared" si="17"/>
        <v>Thursday</v>
      </c>
      <c r="H525" t="s">
        <v>29</v>
      </c>
      <c r="I525" t="s">
        <v>19</v>
      </c>
      <c r="J525" t="s">
        <v>1114</v>
      </c>
      <c r="K525" t="s">
        <v>32</v>
      </c>
      <c r="L525">
        <v>7</v>
      </c>
    </row>
    <row r="526" spans="1:12">
      <c r="A526">
        <v>525</v>
      </c>
      <c r="B526" t="s">
        <v>1115</v>
      </c>
      <c r="C526" t="s">
        <v>1107</v>
      </c>
      <c r="D526" t="s">
        <v>93</v>
      </c>
      <c r="E526" s="3">
        <v>44786</v>
      </c>
      <c r="F526" s="3" t="str">
        <f t="shared" si="16"/>
        <v>13-Aug</v>
      </c>
      <c r="G526" s="3" t="str">
        <f t="shared" si="17"/>
        <v>Saturday</v>
      </c>
      <c r="H526" t="s">
        <v>18</v>
      </c>
      <c r="I526" t="s">
        <v>19</v>
      </c>
      <c r="J526" t="s">
        <v>1116</v>
      </c>
      <c r="K526" t="s">
        <v>21</v>
      </c>
      <c r="L526">
        <v>4</v>
      </c>
    </row>
    <row r="527" spans="1:12">
      <c r="A527">
        <v>526</v>
      </c>
      <c r="B527" t="s">
        <v>1117</v>
      </c>
      <c r="C527" t="s">
        <v>1109</v>
      </c>
      <c r="D527" t="s">
        <v>96</v>
      </c>
      <c r="E527" s="3">
        <v>44757</v>
      </c>
      <c r="F527" s="3" t="str">
        <f t="shared" si="16"/>
        <v>15-Jul</v>
      </c>
      <c r="G527" s="3" t="str">
        <f t="shared" si="17"/>
        <v>Friday</v>
      </c>
      <c r="H527" t="s">
        <v>24</v>
      </c>
      <c r="I527" t="s">
        <v>19</v>
      </c>
      <c r="J527" t="s">
        <v>1118</v>
      </c>
      <c r="K527" t="s">
        <v>26</v>
      </c>
      <c r="L527">
        <v>3</v>
      </c>
    </row>
    <row r="528" spans="1:12">
      <c r="A528">
        <v>527</v>
      </c>
      <c r="B528" t="s">
        <v>1119</v>
      </c>
      <c r="C528" t="s">
        <v>1111</v>
      </c>
      <c r="D528" t="s">
        <v>99</v>
      </c>
      <c r="E528" s="3">
        <v>44787</v>
      </c>
      <c r="F528" s="3" t="str">
        <f t="shared" si="16"/>
        <v>14-Aug</v>
      </c>
      <c r="G528" s="3" t="str">
        <f t="shared" si="17"/>
        <v>Sunday</v>
      </c>
      <c r="H528" t="s">
        <v>29</v>
      </c>
      <c r="I528" t="s">
        <v>30</v>
      </c>
      <c r="J528" t="s">
        <v>1120</v>
      </c>
      <c r="K528" t="s">
        <v>32</v>
      </c>
      <c r="L528">
        <v>8</v>
      </c>
    </row>
    <row r="529" spans="1:12">
      <c r="A529">
        <v>528</v>
      </c>
      <c r="B529" t="s">
        <v>1121</v>
      </c>
      <c r="C529" t="s">
        <v>1113</v>
      </c>
      <c r="D529" t="s">
        <v>103</v>
      </c>
      <c r="E529" s="3">
        <v>44763</v>
      </c>
      <c r="F529" s="3" t="str">
        <f t="shared" si="16"/>
        <v>21-Jul</v>
      </c>
      <c r="G529" s="3" t="str">
        <f t="shared" si="17"/>
        <v>Thursday</v>
      </c>
      <c r="H529" t="s">
        <v>18</v>
      </c>
      <c r="I529" t="s">
        <v>19</v>
      </c>
      <c r="J529" t="s">
        <v>1122</v>
      </c>
      <c r="K529" t="s">
        <v>21</v>
      </c>
      <c r="L529">
        <v>2</v>
      </c>
    </row>
    <row r="530" spans="1:12">
      <c r="A530">
        <v>529</v>
      </c>
      <c r="B530" t="s">
        <v>1123</v>
      </c>
      <c r="C530" t="s">
        <v>1115</v>
      </c>
      <c r="D530" t="s">
        <v>106</v>
      </c>
      <c r="E530" s="3">
        <v>44799</v>
      </c>
      <c r="F530" s="3" t="str">
        <f t="shared" si="16"/>
        <v>26-Aug</v>
      </c>
      <c r="G530" s="3" t="str">
        <f t="shared" si="17"/>
        <v>Friday</v>
      </c>
      <c r="H530" t="s">
        <v>24</v>
      </c>
      <c r="I530" t="s">
        <v>19</v>
      </c>
      <c r="J530" t="s">
        <v>1124</v>
      </c>
      <c r="K530" t="s">
        <v>26</v>
      </c>
      <c r="L530">
        <v>9</v>
      </c>
    </row>
    <row r="531" spans="1:12">
      <c r="A531">
        <v>530</v>
      </c>
      <c r="B531" t="s">
        <v>1125</v>
      </c>
      <c r="C531" t="s">
        <v>1117</v>
      </c>
      <c r="D531" t="s">
        <v>109</v>
      </c>
      <c r="E531" s="3">
        <v>44798</v>
      </c>
      <c r="F531" s="3" t="str">
        <f t="shared" si="16"/>
        <v>25-Aug</v>
      </c>
      <c r="G531" s="3" t="str">
        <f t="shared" si="17"/>
        <v>Thursday</v>
      </c>
      <c r="H531" t="s">
        <v>29</v>
      </c>
      <c r="I531" t="s">
        <v>19</v>
      </c>
      <c r="J531" t="s">
        <v>1126</v>
      </c>
      <c r="K531" t="s">
        <v>32</v>
      </c>
      <c r="L531">
        <v>6</v>
      </c>
    </row>
    <row r="532" spans="1:12">
      <c r="A532">
        <v>531</v>
      </c>
      <c r="B532" t="s">
        <v>1127</v>
      </c>
      <c r="C532" t="s">
        <v>1119</v>
      </c>
      <c r="D532" t="s">
        <v>112</v>
      </c>
      <c r="E532" s="3">
        <v>44807</v>
      </c>
      <c r="F532" s="3" t="str">
        <f t="shared" si="16"/>
        <v>03-Sep</v>
      </c>
      <c r="G532" s="3" t="str">
        <f t="shared" si="17"/>
        <v>Saturday</v>
      </c>
      <c r="H532" t="s">
        <v>18</v>
      </c>
      <c r="I532" t="s">
        <v>19</v>
      </c>
      <c r="J532" t="s">
        <v>1128</v>
      </c>
      <c r="K532" t="s">
        <v>21</v>
      </c>
      <c r="L532">
        <v>7</v>
      </c>
    </row>
    <row r="533" spans="1:12">
      <c r="A533">
        <v>532</v>
      </c>
      <c r="B533" t="s">
        <v>1129</v>
      </c>
      <c r="C533" t="s">
        <v>1121</v>
      </c>
      <c r="D533" t="s">
        <v>115</v>
      </c>
      <c r="E533" s="3">
        <v>44769</v>
      </c>
      <c r="F533" s="3" t="str">
        <f t="shared" si="16"/>
        <v>27-Jul</v>
      </c>
      <c r="G533" s="3" t="str">
        <f t="shared" si="17"/>
        <v>Wednesday</v>
      </c>
      <c r="H533" t="s">
        <v>24</v>
      </c>
      <c r="I533" t="s">
        <v>19</v>
      </c>
      <c r="J533" t="s">
        <v>1130</v>
      </c>
      <c r="K533" t="s">
        <v>26</v>
      </c>
      <c r="L533">
        <v>9</v>
      </c>
    </row>
    <row r="534" spans="1:12">
      <c r="A534">
        <v>533</v>
      </c>
      <c r="B534" t="s">
        <v>1131</v>
      </c>
      <c r="C534" t="s">
        <v>1123</v>
      </c>
      <c r="D534" t="s">
        <v>63</v>
      </c>
      <c r="E534" s="3">
        <v>44779</v>
      </c>
      <c r="F534" s="3" t="str">
        <f t="shared" si="16"/>
        <v>06-Aug</v>
      </c>
      <c r="G534" s="3" t="str">
        <f t="shared" si="17"/>
        <v>Saturday</v>
      </c>
      <c r="H534" t="s">
        <v>24</v>
      </c>
      <c r="I534" t="s">
        <v>30</v>
      </c>
      <c r="J534" t="s">
        <v>1132</v>
      </c>
      <c r="K534" t="s">
        <v>32</v>
      </c>
      <c r="L534">
        <v>2</v>
      </c>
    </row>
    <row r="535" spans="1:12">
      <c r="A535">
        <v>534</v>
      </c>
      <c r="B535" t="s">
        <v>1133</v>
      </c>
      <c r="C535" t="s">
        <v>1125</v>
      </c>
      <c r="D535" t="s">
        <v>87</v>
      </c>
      <c r="E535" s="3">
        <v>44769</v>
      </c>
      <c r="F535" s="3" t="str">
        <f t="shared" si="16"/>
        <v>27-Jul</v>
      </c>
      <c r="G535" s="3" t="str">
        <f t="shared" si="17"/>
        <v>Wednesday</v>
      </c>
      <c r="H535" t="s">
        <v>18</v>
      </c>
      <c r="I535" t="s">
        <v>19</v>
      </c>
      <c r="J535" t="s">
        <v>1134</v>
      </c>
      <c r="K535" t="s">
        <v>21</v>
      </c>
      <c r="L535">
        <v>9</v>
      </c>
    </row>
    <row r="536" spans="1:12">
      <c r="A536">
        <v>535</v>
      </c>
      <c r="B536" t="s">
        <v>1135</v>
      </c>
      <c r="C536" t="s">
        <v>1127</v>
      </c>
      <c r="D536" t="s">
        <v>103</v>
      </c>
      <c r="E536" s="3">
        <v>44756</v>
      </c>
      <c r="F536" s="3" t="str">
        <f t="shared" si="16"/>
        <v>14-Jul</v>
      </c>
      <c r="G536" s="3" t="str">
        <f t="shared" si="17"/>
        <v>Thursday</v>
      </c>
      <c r="H536" t="s">
        <v>24</v>
      </c>
      <c r="I536" t="s">
        <v>19</v>
      </c>
      <c r="J536" t="s">
        <v>1136</v>
      </c>
      <c r="K536" t="s">
        <v>26</v>
      </c>
      <c r="L536">
        <v>10</v>
      </c>
    </row>
    <row r="537" spans="1:12">
      <c r="A537">
        <v>536</v>
      </c>
      <c r="B537" t="s">
        <v>1137</v>
      </c>
      <c r="C537" t="s">
        <v>1129</v>
      </c>
      <c r="D537" t="s">
        <v>37</v>
      </c>
      <c r="E537" s="3">
        <v>44799</v>
      </c>
      <c r="F537" s="3" t="str">
        <f t="shared" si="16"/>
        <v>26-Aug</v>
      </c>
      <c r="G537" s="3" t="str">
        <f t="shared" si="17"/>
        <v>Friday</v>
      </c>
      <c r="H537" t="s">
        <v>29</v>
      </c>
      <c r="I537" t="s">
        <v>19</v>
      </c>
      <c r="J537" t="s">
        <v>1138</v>
      </c>
      <c r="K537" t="s">
        <v>32</v>
      </c>
      <c r="L537">
        <v>1</v>
      </c>
    </row>
    <row r="538" spans="1:12">
      <c r="A538">
        <v>537</v>
      </c>
      <c r="B538" t="s">
        <v>1139</v>
      </c>
      <c r="C538" t="s">
        <v>1131</v>
      </c>
      <c r="D538" t="s">
        <v>68</v>
      </c>
      <c r="E538" s="3">
        <v>44807</v>
      </c>
      <c r="F538" s="3" t="str">
        <f t="shared" si="16"/>
        <v>03-Sep</v>
      </c>
      <c r="G538" s="3" t="str">
        <f t="shared" si="17"/>
        <v>Saturday</v>
      </c>
      <c r="H538" t="s">
        <v>18</v>
      </c>
      <c r="I538" t="s">
        <v>19</v>
      </c>
      <c r="J538" t="s">
        <v>1140</v>
      </c>
      <c r="K538" t="s">
        <v>21</v>
      </c>
      <c r="L538">
        <v>1</v>
      </c>
    </row>
    <row r="539" spans="1:12">
      <c r="A539">
        <v>538</v>
      </c>
      <c r="B539" t="s">
        <v>1141</v>
      </c>
      <c r="C539" t="s">
        <v>1133</v>
      </c>
      <c r="D539" t="s">
        <v>109</v>
      </c>
      <c r="E539" s="3">
        <v>44769</v>
      </c>
      <c r="F539" s="3" t="str">
        <f t="shared" si="16"/>
        <v>27-Jul</v>
      </c>
      <c r="G539" s="3" t="str">
        <f t="shared" si="17"/>
        <v>Wednesday</v>
      </c>
      <c r="H539" t="s">
        <v>24</v>
      </c>
      <c r="I539" t="s">
        <v>19</v>
      </c>
      <c r="J539" t="s">
        <v>1142</v>
      </c>
      <c r="K539" t="s">
        <v>26</v>
      </c>
      <c r="L539">
        <v>10</v>
      </c>
    </row>
    <row r="540" spans="1:12">
      <c r="A540">
        <v>539</v>
      </c>
      <c r="B540" t="s">
        <v>1143</v>
      </c>
      <c r="C540" t="s">
        <v>1135</v>
      </c>
      <c r="D540" t="s">
        <v>112</v>
      </c>
      <c r="E540" s="3">
        <v>44805</v>
      </c>
      <c r="F540" s="3" t="str">
        <f t="shared" si="16"/>
        <v>01-Sep</v>
      </c>
      <c r="G540" s="3" t="str">
        <f t="shared" si="17"/>
        <v>Thursday</v>
      </c>
      <c r="H540" t="s">
        <v>24</v>
      </c>
      <c r="I540" t="s">
        <v>30</v>
      </c>
      <c r="J540" t="s">
        <v>1144</v>
      </c>
      <c r="K540" t="s">
        <v>32</v>
      </c>
      <c r="L540">
        <v>4</v>
      </c>
    </row>
    <row r="541" spans="1:12">
      <c r="A541">
        <v>540</v>
      </c>
      <c r="B541" t="s">
        <v>1145</v>
      </c>
      <c r="C541" t="s">
        <v>1137</v>
      </c>
      <c r="D541" t="s">
        <v>134</v>
      </c>
      <c r="E541" s="3">
        <v>44796</v>
      </c>
      <c r="F541" s="3" t="str">
        <f t="shared" si="16"/>
        <v>23-Aug</v>
      </c>
      <c r="G541" s="3" t="str">
        <f t="shared" si="17"/>
        <v>Tuesday</v>
      </c>
      <c r="H541" t="s">
        <v>18</v>
      </c>
      <c r="I541" t="s">
        <v>19</v>
      </c>
      <c r="J541" t="s">
        <v>1146</v>
      </c>
      <c r="K541" t="s">
        <v>21</v>
      </c>
      <c r="L541">
        <v>7</v>
      </c>
    </row>
    <row r="542" spans="1:12">
      <c r="A542">
        <v>541</v>
      </c>
      <c r="B542" t="s">
        <v>1147</v>
      </c>
      <c r="C542" t="s">
        <v>1139</v>
      </c>
      <c r="D542" t="s">
        <v>54</v>
      </c>
      <c r="E542" s="3">
        <v>44798</v>
      </c>
      <c r="F542" s="3" t="str">
        <f t="shared" si="16"/>
        <v>25-Aug</v>
      </c>
      <c r="G542" s="3" t="str">
        <f t="shared" si="17"/>
        <v>Thursday</v>
      </c>
      <c r="H542" t="s">
        <v>24</v>
      </c>
      <c r="I542" t="s">
        <v>19</v>
      </c>
      <c r="J542" t="s">
        <v>1148</v>
      </c>
      <c r="K542" t="s">
        <v>26</v>
      </c>
      <c r="L542">
        <v>3</v>
      </c>
    </row>
    <row r="543" spans="1:12">
      <c r="A543">
        <v>542</v>
      </c>
      <c r="B543" t="s">
        <v>1149</v>
      </c>
      <c r="C543" t="s">
        <v>1141</v>
      </c>
      <c r="D543" t="s">
        <v>139</v>
      </c>
      <c r="E543" s="3">
        <v>44756</v>
      </c>
      <c r="F543" s="3" t="str">
        <f t="shared" si="16"/>
        <v>14-Jul</v>
      </c>
      <c r="G543" s="3" t="str">
        <f t="shared" si="17"/>
        <v>Thursday</v>
      </c>
      <c r="H543" t="s">
        <v>29</v>
      </c>
      <c r="I543" t="s">
        <v>19</v>
      </c>
      <c r="J543" t="s">
        <v>1150</v>
      </c>
      <c r="K543" t="s">
        <v>32</v>
      </c>
      <c r="L543">
        <v>6</v>
      </c>
    </row>
    <row r="544" spans="1:12">
      <c r="A544">
        <v>543</v>
      </c>
      <c r="B544" t="s">
        <v>1151</v>
      </c>
      <c r="C544" t="s">
        <v>1143</v>
      </c>
      <c r="D544" t="s">
        <v>142</v>
      </c>
      <c r="E544" s="3">
        <v>44800</v>
      </c>
      <c r="F544" s="3" t="str">
        <f t="shared" si="16"/>
        <v>27-Aug</v>
      </c>
      <c r="G544" s="3" t="str">
        <f t="shared" si="17"/>
        <v>Saturday</v>
      </c>
      <c r="H544" t="s">
        <v>18</v>
      </c>
      <c r="I544" t="s">
        <v>19</v>
      </c>
      <c r="J544" t="s">
        <v>1152</v>
      </c>
      <c r="K544" t="s">
        <v>21</v>
      </c>
      <c r="L544">
        <v>6</v>
      </c>
    </row>
    <row r="545" spans="1:12">
      <c r="A545">
        <v>544</v>
      </c>
      <c r="B545" t="s">
        <v>1153</v>
      </c>
      <c r="C545" t="s">
        <v>1145</v>
      </c>
      <c r="D545" t="s">
        <v>145</v>
      </c>
      <c r="E545" s="3">
        <v>44758</v>
      </c>
      <c r="F545" s="3" t="str">
        <f t="shared" si="16"/>
        <v>16-Jul</v>
      </c>
      <c r="G545" s="3" t="str">
        <f t="shared" si="17"/>
        <v>Saturday</v>
      </c>
      <c r="H545" t="s">
        <v>24</v>
      </c>
      <c r="I545" t="s">
        <v>19</v>
      </c>
      <c r="J545" t="s">
        <v>1154</v>
      </c>
      <c r="K545" t="s">
        <v>26</v>
      </c>
      <c r="L545">
        <v>5</v>
      </c>
    </row>
    <row r="546" spans="1:12">
      <c r="A546">
        <v>545</v>
      </c>
      <c r="B546" t="s">
        <v>1155</v>
      </c>
      <c r="C546" t="s">
        <v>1147</v>
      </c>
      <c r="D546" t="s">
        <v>148</v>
      </c>
      <c r="E546" s="3">
        <v>44788</v>
      </c>
      <c r="F546" s="3" t="str">
        <f t="shared" si="16"/>
        <v>15-Aug</v>
      </c>
      <c r="G546" s="3" t="str">
        <f t="shared" si="17"/>
        <v>Monday</v>
      </c>
      <c r="H546" t="s">
        <v>29</v>
      </c>
      <c r="I546" t="s">
        <v>30</v>
      </c>
      <c r="J546" t="s">
        <v>1156</v>
      </c>
      <c r="K546" t="s">
        <v>32</v>
      </c>
      <c r="L546">
        <v>1</v>
      </c>
    </row>
    <row r="547" spans="1:12">
      <c r="A547">
        <v>546</v>
      </c>
      <c r="B547" t="s">
        <v>1157</v>
      </c>
      <c r="C547" t="s">
        <v>1149</v>
      </c>
      <c r="D547" t="s">
        <v>151</v>
      </c>
      <c r="E547" s="3">
        <v>44793</v>
      </c>
      <c r="F547" s="3" t="str">
        <f t="shared" si="16"/>
        <v>20-Aug</v>
      </c>
      <c r="G547" s="3" t="str">
        <f t="shared" si="17"/>
        <v>Saturday</v>
      </c>
      <c r="H547" t="s">
        <v>18</v>
      </c>
      <c r="I547" t="s">
        <v>19</v>
      </c>
      <c r="J547" t="s">
        <v>1158</v>
      </c>
      <c r="K547" t="s">
        <v>21</v>
      </c>
      <c r="L547">
        <v>9</v>
      </c>
    </row>
    <row r="548" spans="1:12">
      <c r="A548">
        <v>547</v>
      </c>
      <c r="B548" t="s">
        <v>1159</v>
      </c>
      <c r="C548" t="s">
        <v>1151</v>
      </c>
      <c r="D548" t="s">
        <v>154</v>
      </c>
      <c r="E548" s="3">
        <v>44784</v>
      </c>
      <c r="F548" s="3" t="str">
        <f t="shared" si="16"/>
        <v>11-Aug</v>
      </c>
      <c r="G548" s="3" t="str">
        <f t="shared" si="17"/>
        <v>Thursday</v>
      </c>
      <c r="H548" t="s">
        <v>24</v>
      </c>
      <c r="I548" t="s">
        <v>19</v>
      </c>
      <c r="J548" t="s">
        <v>1160</v>
      </c>
      <c r="K548" t="s">
        <v>26</v>
      </c>
      <c r="L548">
        <v>3</v>
      </c>
    </row>
    <row r="549" spans="1:12">
      <c r="A549">
        <v>548</v>
      </c>
      <c r="B549" t="s">
        <v>1161</v>
      </c>
      <c r="C549" t="s">
        <v>1153</v>
      </c>
      <c r="D549" t="s">
        <v>157</v>
      </c>
      <c r="E549" s="3">
        <v>44793</v>
      </c>
      <c r="F549" s="3" t="str">
        <f t="shared" si="16"/>
        <v>20-Aug</v>
      </c>
      <c r="G549" s="3" t="str">
        <f t="shared" si="17"/>
        <v>Saturday</v>
      </c>
      <c r="H549" t="s">
        <v>24</v>
      </c>
      <c r="I549" t="s">
        <v>19</v>
      </c>
      <c r="J549" t="s">
        <v>1162</v>
      </c>
      <c r="K549" t="s">
        <v>32</v>
      </c>
      <c r="L549">
        <v>4</v>
      </c>
    </row>
    <row r="550" spans="1:12">
      <c r="A550">
        <v>549</v>
      </c>
      <c r="B550" t="s">
        <v>1163</v>
      </c>
      <c r="C550" t="s">
        <v>1155</v>
      </c>
      <c r="D550" t="s">
        <v>160</v>
      </c>
      <c r="E550" s="3">
        <v>44796</v>
      </c>
      <c r="F550" s="3" t="str">
        <f t="shared" si="16"/>
        <v>23-Aug</v>
      </c>
      <c r="G550" s="3" t="str">
        <f t="shared" si="17"/>
        <v>Tuesday</v>
      </c>
      <c r="H550" t="s">
        <v>18</v>
      </c>
      <c r="I550" t="s">
        <v>19</v>
      </c>
      <c r="J550" t="s">
        <v>1164</v>
      </c>
      <c r="K550" t="s">
        <v>21</v>
      </c>
      <c r="L550">
        <v>8</v>
      </c>
    </row>
    <row r="551" spans="1:12">
      <c r="A551">
        <v>550</v>
      </c>
      <c r="B551" t="s">
        <v>1165</v>
      </c>
      <c r="C551" t="s">
        <v>1157</v>
      </c>
      <c r="D551" t="s">
        <v>163</v>
      </c>
      <c r="E551" s="3">
        <v>44758</v>
      </c>
      <c r="F551" s="3" t="str">
        <f t="shared" si="16"/>
        <v>16-Jul</v>
      </c>
      <c r="G551" s="3" t="str">
        <f t="shared" si="17"/>
        <v>Saturday</v>
      </c>
      <c r="H551" t="s">
        <v>24</v>
      </c>
      <c r="I551" t="s">
        <v>19</v>
      </c>
      <c r="J551" t="s">
        <v>1166</v>
      </c>
      <c r="K551" t="s">
        <v>21</v>
      </c>
      <c r="L551">
        <v>6</v>
      </c>
    </row>
    <row r="552" spans="1:12">
      <c r="A552">
        <v>551</v>
      </c>
      <c r="B552" t="s">
        <v>1167</v>
      </c>
      <c r="C552" t="s">
        <v>1159</v>
      </c>
      <c r="D552" t="s">
        <v>17</v>
      </c>
      <c r="E552" s="3">
        <v>44757</v>
      </c>
      <c r="F552" s="3" t="str">
        <f t="shared" si="16"/>
        <v>15-Jul</v>
      </c>
      <c r="G552" s="3" t="str">
        <f t="shared" si="17"/>
        <v>Friday</v>
      </c>
      <c r="H552" t="s">
        <v>18</v>
      </c>
      <c r="I552" t="s">
        <v>19</v>
      </c>
      <c r="J552" t="s">
        <v>1168</v>
      </c>
      <c r="K552" t="s">
        <v>21</v>
      </c>
      <c r="L552">
        <v>9</v>
      </c>
    </row>
    <row r="553" spans="1:12">
      <c r="A553">
        <v>552</v>
      </c>
      <c r="B553" t="s">
        <v>1169</v>
      </c>
      <c r="C553" t="s">
        <v>1161</v>
      </c>
      <c r="D553" t="s">
        <v>23</v>
      </c>
      <c r="E553" s="3">
        <v>44758</v>
      </c>
      <c r="F553" s="3" t="str">
        <f t="shared" si="16"/>
        <v>16-Jul</v>
      </c>
      <c r="G553" s="3" t="str">
        <f t="shared" si="17"/>
        <v>Saturday</v>
      </c>
      <c r="H553" t="s">
        <v>24</v>
      </c>
      <c r="I553" t="s">
        <v>19</v>
      </c>
      <c r="J553" t="s">
        <v>1170</v>
      </c>
      <c r="K553" t="s">
        <v>26</v>
      </c>
      <c r="L553">
        <v>7</v>
      </c>
    </row>
    <row r="554" spans="1:12">
      <c r="A554">
        <v>553</v>
      </c>
      <c r="B554" t="s">
        <v>1171</v>
      </c>
      <c r="C554" t="s">
        <v>1163</v>
      </c>
      <c r="D554" t="s">
        <v>28</v>
      </c>
      <c r="E554" s="3">
        <v>44800</v>
      </c>
      <c r="F554" s="3" t="str">
        <f t="shared" si="16"/>
        <v>27-Aug</v>
      </c>
      <c r="G554" s="3" t="str">
        <f t="shared" si="17"/>
        <v>Saturday</v>
      </c>
      <c r="H554" t="s">
        <v>29</v>
      </c>
      <c r="I554" t="s">
        <v>30</v>
      </c>
      <c r="J554" t="s">
        <v>1172</v>
      </c>
      <c r="K554" t="s">
        <v>32</v>
      </c>
      <c r="L554">
        <v>8</v>
      </c>
    </row>
    <row r="555" spans="1:12">
      <c r="A555">
        <v>554</v>
      </c>
      <c r="B555" t="s">
        <v>1173</v>
      </c>
      <c r="C555" t="s">
        <v>1165</v>
      </c>
      <c r="D555" t="s">
        <v>34</v>
      </c>
      <c r="E555" s="3">
        <v>44780</v>
      </c>
      <c r="F555" s="3" t="str">
        <f t="shared" si="16"/>
        <v>07-Aug</v>
      </c>
      <c r="G555" s="3" t="str">
        <f t="shared" si="17"/>
        <v>Sunday</v>
      </c>
      <c r="H555" t="s">
        <v>18</v>
      </c>
      <c r="I555" t="s">
        <v>19</v>
      </c>
      <c r="J555" t="s">
        <v>1174</v>
      </c>
      <c r="K555" t="s">
        <v>21</v>
      </c>
      <c r="L555">
        <v>6</v>
      </c>
    </row>
    <row r="556" spans="1:12">
      <c r="A556">
        <v>555</v>
      </c>
      <c r="B556" t="s">
        <v>1175</v>
      </c>
      <c r="C556" t="s">
        <v>1167</v>
      </c>
      <c r="D556" t="s">
        <v>37</v>
      </c>
      <c r="E556" s="3">
        <v>44807</v>
      </c>
      <c r="F556" s="3" t="str">
        <f t="shared" si="16"/>
        <v>03-Sep</v>
      </c>
      <c r="G556" s="3" t="str">
        <f t="shared" si="17"/>
        <v>Saturday</v>
      </c>
      <c r="H556" t="s">
        <v>24</v>
      </c>
      <c r="I556" t="s">
        <v>19</v>
      </c>
      <c r="J556" t="s">
        <v>1176</v>
      </c>
      <c r="K556" t="s">
        <v>26</v>
      </c>
      <c r="L556">
        <v>2</v>
      </c>
    </row>
    <row r="557" spans="1:12">
      <c r="A557">
        <v>556</v>
      </c>
      <c r="B557" t="s">
        <v>1177</v>
      </c>
      <c r="C557" t="s">
        <v>1169</v>
      </c>
      <c r="D557" t="s">
        <v>40</v>
      </c>
      <c r="E557" s="3">
        <v>44798</v>
      </c>
      <c r="F557" s="3" t="str">
        <f t="shared" si="16"/>
        <v>25-Aug</v>
      </c>
      <c r="G557" s="3" t="str">
        <f t="shared" si="17"/>
        <v>Thursday</v>
      </c>
      <c r="H557" t="s">
        <v>24</v>
      </c>
      <c r="I557" t="s">
        <v>19</v>
      </c>
      <c r="J557" t="s">
        <v>1178</v>
      </c>
      <c r="K557" t="s">
        <v>32</v>
      </c>
      <c r="L557">
        <v>4</v>
      </c>
    </row>
    <row r="558" spans="1:12">
      <c r="A558">
        <v>557</v>
      </c>
      <c r="B558" t="s">
        <v>1179</v>
      </c>
      <c r="C558" t="s">
        <v>1171</v>
      </c>
      <c r="D558" t="s">
        <v>43</v>
      </c>
      <c r="E558" s="3">
        <v>44810</v>
      </c>
      <c r="F558" s="3" t="str">
        <f t="shared" si="16"/>
        <v>06-Sep</v>
      </c>
      <c r="G558" s="3" t="str">
        <f t="shared" si="17"/>
        <v>Tuesday</v>
      </c>
      <c r="H558" t="s">
        <v>18</v>
      </c>
      <c r="I558" t="s">
        <v>19</v>
      </c>
      <c r="J558" t="s">
        <v>1180</v>
      </c>
      <c r="K558" t="s">
        <v>21</v>
      </c>
      <c r="L558">
        <v>1</v>
      </c>
    </row>
    <row r="559" spans="1:12">
      <c r="A559">
        <v>558</v>
      </c>
      <c r="B559" t="s">
        <v>1181</v>
      </c>
      <c r="C559" t="s">
        <v>1173</v>
      </c>
      <c r="D559" t="s">
        <v>43</v>
      </c>
      <c r="E559" s="3">
        <v>44764</v>
      </c>
      <c r="F559" s="3" t="str">
        <f t="shared" si="16"/>
        <v>22-Jul</v>
      </c>
      <c r="G559" s="3" t="str">
        <f t="shared" si="17"/>
        <v>Friday</v>
      </c>
      <c r="H559" t="s">
        <v>24</v>
      </c>
      <c r="I559" t="s">
        <v>19</v>
      </c>
      <c r="J559" t="s">
        <v>1182</v>
      </c>
      <c r="K559" t="s">
        <v>26</v>
      </c>
      <c r="L559">
        <v>9</v>
      </c>
    </row>
    <row r="560" spans="1:12">
      <c r="A560">
        <v>559</v>
      </c>
      <c r="B560" t="s">
        <v>1183</v>
      </c>
      <c r="C560" t="s">
        <v>1175</v>
      </c>
      <c r="D560" t="s">
        <v>49</v>
      </c>
      <c r="E560" s="3">
        <v>44766</v>
      </c>
      <c r="F560" s="3" t="str">
        <f t="shared" si="16"/>
        <v>24-Jul</v>
      </c>
      <c r="G560" s="3" t="str">
        <f t="shared" si="17"/>
        <v>Sunday</v>
      </c>
      <c r="H560" t="s">
        <v>18</v>
      </c>
      <c r="I560" t="s">
        <v>30</v>
      </c>
      <c r="J560" t="s">
        <v>1184</v>
      </c>
      <c r="K560" t="s">
        <v>32</v>
      </c>
      <c r="L560">
        <v>6</v>
      </c>
    </row>
    <row r="561" spans="1:12">
      <c r="A561">
        <v>560</v>
      </c>
      <c r="B561" t="s">
        <v>1185</v>
      </c>
      <c r="C561" t="s">
        <v>1177</v>
      </c>
      <c r="D561" t="s">
        <v>184</v>
      </c>
      <c r="E561" s="3">
        <v>44794</v>
      </c>
      <c r="F561" s="3" t="str">
        <f t="shared" si="16"/>
        <v>21-Aug</v>
      </c>
      <c r="G561" s="3" t="str">
        <f t="shared" si="17"/>
        <v>Sunday</v>
      </c>
      <c r="H561" t="s">
        <v>24</v>
      </c>
      <c r="I561" t="s">
        <v>19</v>
      </c>
      <c r="J561" t="s">
        <v>1186</v>
      </c>
      <c r="K561" t="s">
        <v>21</v>
      </c>
      <c r="L561">
        <v>9</v>
      </c>
    </row>
    <row r="562" spans="1:12">
      <c r="A562">
        <v>561</v>
      </c>
      <c r="B562" t="s">
        <v>1187</v>
      </c>
      <c r="C562" t="s">
        <v>1179</v>
      </c>
      <c r="D562" t="s">
        <v>54</v>
      </c>
      <c r="E562" s="3">
        <v>44800</v>
      </c>
      <c r="F562" s="3" t="str">
        <f t="shared" si="16"/>
        <v>27-Aug</v>
      </c>
      <c r="G562" s="3" t="str">
        <f t="shared" si="17"/>
        <v>Saturday</v>
      </c>
      <c r="H562" t="s">
        <v>24</v>
      </c>
      <c r="I562" t="s">
        <v>19</v>
      </c>
      <c r="J562" t="s">
        <v>1188</v>
      </c>
      <c r="K562" t="s">
        <v>26</v>
      </c>
      <c r="L562">
        <v>9</v>
      </c>
    </row>
    <row r="563" spans="1:12">
      <c r="A563">
        <v>562</v>
      </c>
      <c r="B563" t="s">
        <v>1189</v>
      </c>
      <c r="C563" t="s">
        <v>1181</v>
      </c>
      <c r="D563" t="s">
        <v>57</v>
      </c>
      <c r="E563" s="3">
        <v>44792</v>
      </c>
      <c r="F563" s="3" t="str">
        <f t="shared" si="16"/>
        <v>19-Aug</v>
      </c>
      <c r="G563" s="3" t="str">
        <f t="shared" si="17"/>
        <v>Friday</v>
      </c>
      <c r="H563" t="s">
        <v>18</v>
      </c>
      <c r="I563" t="s">
        <v>19</v>
      </c>
      <c r="J563" t="s">
        <v>1190</v>
      </c>
      <c r="K563" t="s">
        <v>32</v>
      </c>
      <c r="L563">
        <v>3</v>
      </c>
    </row>
    <row r="564" spans="1:12">
      <c r="A564">
        <v>563</v>
      </c>
      <c r="B564" t="s">
        <v>1191</v>
      </c>
      <c r="C564" t="s">
        <v>1183</v>
      </c>
      <c r="D564" t="s">
        <v>60</v>
      </c>
      <c r="E564" s="3">
        <v>44809</v>
      </c>
      <c r="F564" s="3" t="str">
        <f t="shared" si="16"/>
        <v>05-Sep</v>
      </c>
      <c r="G564" s="3" t="str">
        <f t="shared" si="17"/>
        <v>Monday</v>
      </c>
      <c r="H564" t="s">
        <v>24</v>
      </c>
      <c r="I564" t="s">
        <v>19</v>
      </c>
      <c r="J564" t="s">
        <v>1192</v>
      </c>
      <c r="K564" t="s">
        <v>21</v>
      </c>
      <c r="L564">
        <v>2</v>
      </c>
    </row>
    <row r="565" spans="1:12">
      <c r="A565">
        <v>564</v>
      </c>
      <c r="B565" t="s">
        <v>1193</v>
      </c>
      <c r="C565" t="s">
        <v>1185</v>
      </c>
      <c r="D565" t="s">
        <v>63</v>
      </c>
      <c r="E565" s="3">
        <v>44789</v>
      </c>
      <c r="F565" s="3" t="str">
        <f t="shared" si="16"/>
        <v>16-Aug</v>
      </c>
      <c r="G565" s="3" t="str">
        <f t="shared" si="17"/>
        <v>Tuesday</v>
      </c>
      <c r="H565" t="s">
        <v>24</v>
      </c>
      <c r="I565" t="s">
        <v>19</v>
      </c>
      <c r="J565" t="s">
        <v>1194</v>
      </c>
      <c r="K565" t="s">
        <v>26</v>
      </c>
      <c r="L565">
        <v>3</v>
      </c>
    </row>
    <row r="566" spans="1:12">
      <c r="A566">
        <v>565</v>
      </c>
      <c r="B566" t="s">
        <v>1195</v>
      </c>
      <c r="C566" t="s">
        <v>1187</v>
      </c>
      <c r="D566" t="s">
        <v>163</v>
      </c>
      <c r="E566" s="3">
        <v>44757</v>
      </c>
      <c r="F566" s="3" t="str">
        <f t="shared" si="16"/>
        <v>15-Jul</v>
      </c>
      <c r="G566" s="3" t="str">
        <f t="shared" si="17"/>
        <v>Friday</v>
      </c>
      <c r="H566" t="s">
        <v>18</v>
      </c>
      <c r="I566" t="s">
        <v>30</v>
      </c>
      <c r="J566" t="s">
        <v>1196</v>
      </c>
      <c r="K566" t="s">
        <v>32</v>
      </c>
      <c r="L566">
        <v>10</v>
      </c>
    </row>
    <row r="567" spans="1:12">
      <c r="A567">
        <v>566</v>
      </c>
      <c r="B567" t="s">
        <v>1197</v>
      </c>
      <c r="C567" t="s">
        <v>1189</v>
      </c>
      <c r="D567" t="s">
        <v>17</v>
      </c>
      <c r="E567" s="3">
        <v>44790</v>
      </c>
      <c r="F567" s="3" t="str">
        <f t="shared" si="16"/>
        <v>17-Aug</v>
      </c>
      <c r="G567" s="3" t="str">
        <f t="shared" si="17"/>
        <v>Wednesday</v>
      </c>
      <c r="H567" t="s">
        <v>24</v>
      </c>
      <c r="I567" t="s">
        <v>19</v>
      </c>
      <c r="J567" t="s">
        <v>1198</v>
      </c>
      <c r="K567" t="s">
        <v>21</v>
      </c>
      <c r="L567">
        <v>3</v>
      </c>
    </row>
    <row r="568" spans="1:12">
      <c r="A568">
        <v>567</v>
      </c>
      <c r="B568" t="s">
        <v>1199</v>
      </c>
      <c r="C568" t="s">
        <v>1191</v>
      </c>
      <c r="D568" t="s">
        <v>23</v>
      </c>
      <c r="E568" s="3">
        <v>44808</v>
      </c>
      <c r="F568" s="3" t="str">
        <f t="shared" si="16"/>
        <v>04-Sep</v>
      </c>
      <c r="G568" s="3" t="str">
        <f t="shared" si="17"/>
        <v>Sunday</v>
      </c>
      <c r="H568" t="s">
        <v>18</v>
      </c>
      <c r="I568" t="s">
        <v>19</v>
      </c>
      <c r="J568" t="s">
        <v>1200</v>
      </c>
      <c r="K568" t="s">
        <v>26</v>
      </c>
      <c r="L568">
        <v>1</v>
      </c>
    </row>
    <row r="569" spans="1:12">
      <c r="A569">
        <v>568</v>
      </c>
      <c r="B569" t="s">
        <v>1201</v>
      </c>
      <c r="C569" t="s">
        <v>1193</v>
      </c>
      <c r="D569" t="s">
        <v>28</v>
      </c>
      <c r="E569" s="3">
        <v>44801</v>
      </c>
      <c r="F569" s="3" t="str">
        <f t="shared" si="16"/>
        <v>28-Aug</v>
      </c>
      <c r="G569" s="3" t="str">
        <f t="shared" si="17"/>
        <v>Sunday</v>
      </c>
      <c r="H569" t="s">
        <v>24</v>
      </c>
      <c r="I569" t="s">
        <v>19</v>
      </c>
      <c r="J569" t="s">
        <v>1202</v>
      </c>
      <c r="K569" t="s">
        <v>32</v>
      </c>
      <c r="L569">
        <v>5</v>
      </c>
    </row>
    <row r="570" spans="1:12">
      <c r="A570">
        <v>569</v>
      </c>
      <c r="B570" t="s">
        <v>1203</v>
      </c>
      <c r="C570" t="s">
        <v>1195</v>
      </c>
      <c r="D570" t="s">
        <v>34</v>
      </c>
      <c r="E570" s="3">
        <v>44769</v>
      </c>
      <c r="F570" s="3" t="str">
        <f t="shared" si="16"/>
        <v>27-Jul</v>
      </c>
      <c r="G570" s="3" t="str">
        <f t="shared" si="17"/>
        <v>Wednesday</v>
      </c>
      <c r="H570" t="s">
        <v>18</v>
      </c>
      <c r="I570" t="s">
        <v>19</v>
      </c>
      <c r="J570" t="s">
        <v>1204</v>
      </c>
      <c r="K570" t="s">
        <v>21</v>
      </c>
      <c r="L570">
        <v>1</v>
      </c>
    </row>
    <row r="571" spans="1:12">
      <c r="A571">
        <v>570</v>
      </c>
      <c r="B571" t="s">
        <v>1205</v>
      </c>
      <c r="C571" t="s">
        <v>1197</v>
      </c>
      <c r="D571" t="s">
        <v>37</v>
      </c>
      <c r="E571" s="3">
        <v>44757</v>
      </c>
      <c r="F571" s="3" t="str">
        <f t="shared" si="16"/>
        <v>15-Jul</v>
      </c>
      <c r="G571" s="3" t="str">
        <f t="shared" si="17"/>
        <v>Friday</v>
      </c>
      <c r="H571" t="s">
        <v>24</v>
      </c>
      <c r="I571" t="s">
        <v>19</v>
      </c>
      <c r="J571" t="s">
        <v>1206</v>
      </c>
      <c r="K571" t="s">
        <v>26</v>
      </c>
      <c r="L571">
        <v>5</v>
      </c>
    </row>
    <row r="572" spans="1:12">
      <c r="A572">
        <v>571</v>
      </c>
      <c r="B572" t="s">
        <v>1207</v>
      </c>
      <c r="C572" t="s">
        <v>1199</v>
      </c>
      <c r="D572" t="s">
        <v>40</v>
      </c>
      <c r="E572" s="3">
        <v>44759</v>
      </c>
      <c r="F572" s="3" t="str">
        <f t="shared" si="16"/>
        <v>17-Jul</v>
      </c>
      <c r="G572" s="3" t="str">
        <f t="shared" si="17"/>
        <v>Sunday</v>
      </c>
      <c r="H572" t="s">
        <v>29</v>
      </c>
      <c r="I572" t="s">
        <v>30</v>
      </c>
      <c r="J572" t="s">
        <v>1208</v>
      </c>
      <c r="K572" t="s">
        <v>32</v>
      </c>
      <c r="L572">
        <v>5</v>
      </c>
    </row>
    <row r="573" spans="1:12">
      <c r="A573">
        <v>572</v>
      </c>
      <c r="B573" t="s">
        <v>1209</v>
      </c>
      <c r="C573" t="s">
        <v>1201</v>
      </c>
      <c r="D573" t="s">
        <v>43</v>
      </c>
      <c r="E573" s="3">
        <v>44805</v>
      </c>
      <c r="F573" s="3" t="str">
        <f t="shared" si="16"/>
        <v>01-Sep</v>
      </c>
      <c r="G573" s="3" t="str">
        <f t="shared" si="17"/>
        <v>Thursday</v>
      </c>
      <c r="H573" t="s">
        <v>18</v>
      </c>
      <c r="I573" t="s">
        <v>19</v>
      </c>
      <c r="J573" t="s">
        <v>1210</v>
      </c>
      <c r="K573" t="s">
        <v>21</v>
      </c>
      <c r="L573">
        <v>3</v>
      </c>
    </row>
    <row r="574" spans="1:12">
      <c r="A574">
        <v>573</v>
      </c>
      <c r="B574" t="s">
        <v>1211</v>
      </c>
      <c r="C574" t="s">
        <v>1203</v>
      </c>
      <c r="D574" t="s">
        <v>43</v>
      </c>
      <c r="E574" s="3">
        <v>44760</v>
      </c>
      <c r="F574" s="3" t="str">
        <f t="shared" si="16"/>
        <v>18-Jul</v>
      </c>
      <c r="G574" s="3" t="str">
        <f t="shared" si="17"/>
        <v>Monday</v>
      </c>
      <c r="H574" t="s">
        <v>24</v>
      </c>
      <c r="I574" t="s">
        <v>19</v>
      </c>
      <c r="J574" t="s">
        <v>1212</v>
      </c>
      <c r="K574" t="s">
        <v>26</v>
      </c>
      <c r="L574">
        <v>3</v>
      </c>
    </row>
    <row r="575" spans="1:12">
      <c r="A575">
        <v>574</v>
      </c>
      <c r="B575" t="s">
        <v>1213</v>
      </c>
      <c r="C575" t="s">
        <v>1205</v>
      </c>
      <c r="D575" t="s">
        <v>49</v>
      </c>
      <c r="E575" s="3">
        <v>44791</v>
      </c>
      <c r="F575" s="3" t="str">
        <f t="shared" si="16"/>
        <v>18-Aug</v>
      </c>
      <c r="G575" s="3" t="str">
        <f t="shared" si="17"/>
        <v>Thursday</v>
      </c>
      <c r="H575" t="s">
        <v>24</v>
      </c>
      <c r="I575" t="s">
        <v>19</v>
      </c>
      <c r="J575" t="s">
        <v>1214</v>
      </c>
      <c r="K575" t="s">
        <v>32</v>
      </c>
      <c r="L575">
        <v>7</v>
      </c>
    </row>
    <row r="576" spans="1:12">
      <c r="A576">
        <v>575</v>
      </c>
      <c r="B576" t="s">
        <v>1215</v>
      </c>
      <c r="C576" t="s">
        <v>1207</v>
      </c>
      <c r="D576" t="s">
        <v>40</v>
      </c>
      <c r="E576" s="3">
        <v>44768</v>
      </c>
      <c r="F576" s="3" t="str">
        <f t="shared" si="16"/>
        <v>26-Jul</v>
      </c>
      <c r="G576" s="3" t="str">
        <f t="shared" si="17"/>
        <v>Tuesday</v>
      </c>
      <c r="H576" t="s">
        <v>18</v>
      </c>
      <c r="I576" t="s">
        <v>19</v>
      </c>
      <c r="J576" t="s">
        <v>1216</v>
      </c>
      <c r="K576" t="s">
        <v>21</v>
      </c>
      <c r="L576">
        <v>4</v>
      </c>
    </row>
    <row r="577" spans="1:12">
      <c r="A577">
        <v>576</v>
      </c>
      <c r="B577" t="s">
        <v>1217</v>
      </c>
      <c r="C577" t="s">
        <v>1209</v>
      </c>
      <c r="D577" t="s">
        <v>54</v>
      </c>
      <c r="E577" s="3">
        <v>44759</v>
      </c>
      <c r="F577" s="3" t="str">
        <f t="shared" si="16"/>
        <v>17-Jul</v>
      </c>
      <c r="G577" s="3" t="str">
        <f t="shared" si="17"/>
        <v>Sunday</v>
      </c>
      <c r="H577" t="s">
        <v>24</v>
      </c>
      <c r="I577" t="s">
        <v>19</v>
      </c>
      <c r="J577" t="s">
        <v>1218</v>
      </c>
      <c r="K577" t="s">
        <v>26</v>
      </c>
      <c r="L577">
        <v>3</v>
      </c>
    </row>
    <row r="578" spans="1:12">
      <c r="A578">
        <v>577</v>
      </c>
      <c r="B578" t="s">
        <v>1219</v>
      </c>
      <c r="C578" t="s">
        <v>1211</v>
      </c>
      <c r="D578" t="s">
        <v>57</v>
      </c>
      <c r="E578" s="3">
        <v>44781</v>
      </c>
      <c r="F578" s="3" t="str">
        <f t="shared" ref="F578:F641" si="18">TEXT(E578,"dd-mmm")</f>
        <v>08-Aug</v>
      </c>
      <c r="G578" s="3" t="str">
        <f t="shared" ref="G578:G641" si="19">TEXT(E578,"dddd")</f>
        <v>Monday</v>
      </c>
      <c r="H578" t="s">
        <v>18</v>
      </c>
      <c r="I578" t="s">
        <v>30</v>
      </c>
      <c r="J578" t="s">
        <v>1220</v>
      </c>
      <c r="K578" t="s">
        <v>32</v>
      </c>
      <c r="L578">
        <v>8</v>
      </c>
    </row>
    <row r="579" spans="1:12">
      <c r="A579">
        <v>578</v>
      </c>
      <c r="B579" t="s">
        <v>1221</v>
      </c>
      <c r="C579" t="s">
        <v>1213</v>
      </c>
      <c r="D579" t="s">
        <v>60</v>
      </c>
      <c r="E579" s="3">
        <v>44785</v>
      </c>
      <c r="F579" s="3" t="str">
        <f t="shared" si="18"/>
        <v>12-Aug</v>
      </c>
      <c r="G579" s="3" t="str">
        <f t="shared" si="19"/>
        <v>Friday</v>
      </c>
      <c r="H579" t="s">
        <v>24</v>
      </c>
      <c r="I579" t="s">
        <v>19</v>
      </c>
      <c r="J579" t="s">
        <v>1222</v>
      </c>
      <c r="K579" t="s">
        <v>21</v>
      </c>
      <c r="L579">
        <v>2</v>
      </c>
    </row>
    <row r="580" spans="1:12">
      <c r="A580">
        <v>579</v>
      </c>
      <c r="B580" t="s">
        <v>1223</v>
      </c>
      <c r="C580" t="s">
        <v>1215</v>
      </c>
      <c r="D580" t="s">
        <v>63</v>
      </c>
      <c r="E580" s="3">
        <v>44775</v>
      </c>
      <c r="F580" s="3" t="str">
        <f t="shared" si="18"/>
        <v>02-Aug</v>
      </c>
      <c r="G580" s="3" t="str">
        <f t="shared" si="19"/>
        <v>Tuesday</v>
      </c>
      <c r="H580" t="s">
        <v>24</v>
      </c>
      <c r="I580" t="s">
        <v>19</v>
      </c>
      <c r="J580" t="s">
        <v>1224</v>
      </c>
      <c r="K580" t="s">
        <v>26</v>
      </c>
      <c r="L580">
        <v>9</v>
      </c>
    </row>
    <row r="581" spans="1:12">
      <c r="A581">
        <v>580</v>
      </c>
      <c r="B581" t="s">
        <v>1225</v>
      </c>
      <c r="C581" t="s">
        <v>1217</v>
      </c>
      <c r="D581" t="s">
        <v>40</v>
      </c>
      <c r="E581" s="3">
        <v>44773</v>
      </c>
      <c r="F581" s="3" t="str">
        <f t="shared" si="18"/>
        <v>31-Jul</v>
      </c>
      <c r="G581" s="3" t="str">
        <f t="shared" si="19"/>
        <v>Sunday</v>
      </c>
      <c r="H581" t="s">
        <v>18</v>
      </c>
      <c r="I581" t="s">
        <v>19</v>
      </c>
      <c r="J581" t="s">
        <v>1226</v>
      </c>
      <c r="K581" t="s">
        <v>32</v>
      </c>
      <c r="L581">
        <v>6</v>
      </c>
    </row>
    <row r="582" spans="1:12">
      <c r="A582">
        <v>581</v>
      </c>
      <c r="B582" t="s">
        <v>1227</v>
      </c>
      <c r="C582" t="s">
        <v>1219</v>
      </c>
      <c r="D582" t="s">
        <v>68</v>
      </c>
      <c r="E582" s="3">
        <v>44796</v>
      </c>
      <c r="F582" s="3" t="str">
        <f t="shared" si="18"/>
        <v>23-Aug</v>
      </c>
      <c r="G582" s="3" t="str">
        <f t="shared" si="19"/>
        <v>Tuesday</v>
      </c>
      <c r="H582" t="s">
        <v>24</v>
      </c>
      <c r="I582" t="s">
        <v>19</v>
      </c>
      <c r="J582" t="s">
        <v>1228</v>
      </c>
      <c r="K582" t="s">
        <v>21</v>
      </c>
      <c r="L582">
        <v>7</v>
      </c>
    </row>
    <row r="583" spans="1:12">
      <c r="A583">
        <v>582</v>
      </c>
      <c r="B583" t="s">
        <v>1229</v>
      </c>
      <c r="C583" t="s">
        <v>1221</v>
      </c>
      <c r="D583" t="s">
        <v>57</v>
      </c>
      <c r="E583" s="3">
        <v>44801</v>
      </c>
      <c r="F583" s="3" t="str">
        <f t="shared" si="18"/>
        <v>28-Aug</v>
      </c>
      <c r="G583" s="3" t="str">
        <f t="shared" si="19"/>
        <v>Sunday</v>
      </c>
      <c r="H583" t="s">
        <v>24</v>
      </c>
      <c r="I583" t="s">
        <v>19</v>
      </c>
      <c r="J583" t="s">
        <v>1230</v>
      </c>
      <c r="K583" t="s">
        <v>26</v>
      </c>
      <c r="L583">
        <v>9</v>
      </c>
    </row>
    <row r="584" spans="1:12">
      <c r="A584">
        <v>583</v>
      </c>
      <c r="B584" t="s">
        <v>1231</v>
      </c>
      <c r="C584" t="s">
        <v>1223</v>
      </c>
      <c r="D584" t="s">
        <v>37</v>
      </c>
      <c r="E584" s="3">
        <v>44779</v>
      </c>
      <c r="F584" s="3" t="str">
        <f t="shared" si="18"/>
        <v>06-Aug</v>
      </c>
      <c r="G584" s="3" t="str">
        <f t="shared" si="19"/>
        <v>Saturday</v>
      </c>
      <c r="H584" t="s">
        <v>18</v>
      </c>
      <c r="I584" t="s">
        <v>30</v>
      </c>
      <c r="J584" t="s">
        <v>1232</v>
      </c>
      <c r="K584" t="s">
        <v>32</v>
      </c>
      <c r="L584">
        <v>2</v>
      </c>
    </row>
    <row r="585" spans="1:12">
      <c r="A585">
        <v>584</v>
      </c>
      <c r="B585" t="s">
        <v>1233</v>
      </c>
      <c r="C585" t="s">
        <v>1225</v>
      </c>
      <c r="D585" t="s">
        <v>54</v>
      </c>
      <c r="E585" s="3">
        <v>44772</v>
      </c>
      <c r="F585" s="3" t="str">
        <f t="shared" si="18"/>
        <v>30-Jul</v>
      </c>
      <c r="G585" s="3" t="str">
        <f t="shared" si="19"/>
        <v>Saturday</v>
      </c>
      <c r="H585" t="s">
        <v>24</v>
      </c>
      <c r="I585" t="s">
        <v>19</v>
      </c>
      <c r="J585" t="s">
        <v>1234</v>
      </c>
      <c r="K585" t="s">
        <v>21</v>
      </c>
      <c r="L585">
        <v>9</v>
      </c>
    </row>
    <row r="586" spans="1:12">
      <c r="A586">
        <v>585</v>
      </c>
      <c r="B586" t="s">
        <v>1235</v>
      </c>
      <c r="C586" t="s">
        <v>1227</v>
      </c>
      <c r="D586" t="s">
        <v>78</v>
      </c>
      <c r="E586" s="3">
        <v>44757</v>
      </c>
      <c r="F586" s="3" t="str">
        <f t="shared" si="18"/>
        <v>15-Jul</v>
      </c>
      <c r="G586" s="3" t="str">
        <f t="shared" si="19"/>
        <v>Friday</v>
      </c>
      <c r="H586" t="s">
        <v>18</v>
      </c>
      <c r="I586" t="s">
        <v>19</v>
      </c>
      <c r="J586" t="s">
        <v>1236</v>
      </c>
      <c r="K586" t="s">
        <v>26</v>
      </c>
      <c r="L586">
        <v>10</v>
      </c>
    </row>
    <row r="587" spans="1:12">
      <c r="A587">
        <v>586</v>
      </c>
      <c r="B587" t="s">
        <v>1237</v>
      </c>
      <c r="C587" t="s">
        <v>1229</v>
      </c>
      <c r="D587" t="s">
        <v>81</v>
      </c>
      <c r="E587" s="3">
        <v>44808</v>
      </c>
      <c r="F587" s="3" t="str">
        <f t="shared" si="18"/>
        <v>04-Sep</v>
      </c>
      <c r="G587" s="3" t="str">
        <f t="shared" si="19"/>
        <v>Sunday</v>
      </c>
      <c r="H587" t="s">
        <v>24</v>
      </c>
      <c r="I587" t="s">
        <v>19</v>
      </c>
      <c r="J587" t="s">
        <v>1238</v>
      </c>
      <c r="K587" t="s">
        <v>32</v>
      </c>
      <c r="L587">
        <v>1</v>
      </c>
    </row>
    <row r="588" spans="1:12">
      <c r="A588">
        <v>587</v>
      </c>
      <c r="B588" t="s">
        <v>1239</v>
      </c>
      <c r="C588" t="s">
        <v>1231</v>
      </c>
      <c r="D588" t="s">
        <v>84</v>
      </c>
      <c r="E588" s="3">
        <v>44782</v>
      </c>
      <c r="F588" s="3" t="str">
        <f t="shared" si="18"/>
        <v>09-Aug</v>
      </c>
      <c r="G588" s="3" t="str">
        <f t="shared" si="19"/>
        <v>Tuesday</v>
      </c>
      <c r="H588" t="s">
        <v>18</v>
      </c>
      <c r="I588" t="s">
        <v>19</v>
      </c>
      <c r="J588" t="s">
        <v>1240</v>
      </c>
      <c r="K588" t="s">
        <v>21</v>
      </c>
      <c r="L588">
        <v>1</v>
      </c>
    </row>
    <row r="589" spans="1:12">
      <c r="A589">
        <v>588</v>
      </c>
      <c r="B589" t="s">
        <v>1241</v>
      </c>
      <c r="C589" t="s">
        <v>1233</v>
      </c>
      <c r="D589" t="s">
        <v>87</v>
      </c>
      <c r="E589" s="3">
        <v>44787</v>
      </c>
      <c r="F589" s="3" t="str">
        <f t="shared" si="18"/>
        <v>14-Aug</v>
      </c>
      <c r="G589" s="3" t="str">
        <f t="shared" si="19"/>
        <v>Sunday</v>
      </c>
      <c r="H589" t="s">
        <v>24</v>
      </c>
      <c r="I589" t="s">
        <v>19</v>
      </c>
      <c r="J589" t="s">
        <v>1242</v>
      </c>
      <c r="K589" t="s">
        <v>26</v>
      </c>
      <c r="L589">
        <v>10</v>
      </c>
    </row>
    <row r="590" spans="1:12">
      <c r="A590">
        <v>589</v>
      </c>
      <c r="B590" t="s">
        <v>1243</v>
      </c>
      <c r="C590" t="s">
        <v>1235</v>
      </c>
      <c r="D590" t="s">
        <v>90</v>
      </c>
      <c r="E590" s="3">
        <v>44787</v>
      </c>
      <c r="F590" s="3" t="str">
        <f t="shared" si="18"/>
        <v>14-Aug</v>
      </c>
      <c r="G590" s="3" t="str">
        <f t="shared" si="19"/>
        <v>Sunday</v>
      </c>
      <c r="H590" t="s">
        <v>29</v>
      </c>
      <c r="I590" t="s">
        <v>30</v>
      </c>
      <c r="J590" t="s">
        <v>1244</v>
      </c>
      <c r="K590" t="s">
        <v>32</v>
      </c>
      <c r="L590">
        <v>4</v>
      </c>
    </row>
    <row r="591" spans="1:12">
      <c r="A591">
        <v>590</v>
      </c>
      <c r="B591" t="s">
        <v>1245</v>
      </c>
      <c r="C591" t="s">
        <v>1237</v>
      </c>
      <c r="D591" t="s">
        <v>93</v>
      </c>
      <c r="E591" s="3">
        <v>44757</v>
      </c>
      <c r="F591" s="3" t="str">
        <f t="shared" si="18"/>
        <v>15-Jul</v>
      </c>
      <c r="G591" s="3" t="str">
        <f t="shared" si="19"/>
        <v>Friday</v>
      </c>
      <c r="H591" t="s">
        <v>18</v>
      </c>
      <c r="I591" t="s">
        <v>19</v>
      </c>
      <c r="J591" t="s">
        <v>1246</v>
      </c>
      <c r="K591" t="s">
        <v>21</v>
      </c>
      <c r="L591">
        <v>7</v>
      </c>
    </row>
    <row r="592" spans="1:12">
      <c r="A592">
        <v>591</v>
      </c>
      <c r="B592" t="s">
        <v>1247</v>
      </c>
      <c r="C592" t="s">
        <v>1239</v>
      </c>
      <c r="D592" t="s">
        <v>96</v>
      </c>
      <c r="E592" s="3">
        <v>44761</v>
      </c>
      <c r="F592" s="3" t="str">
        <f t="shared" si="18"/>
        <v>19-Jul</v>
      </c>
      <c r="G592" s="3" t="str">
        <f t="shared" si="19"/>
        <v>Tuesday</v>
      </c>
      <c r="H592" t="s">
        <v>24</v>
      </c>
      <c r="I592" t="s">
        <v>19</v>
      </c>
      <c r="J592" t="s">
        <v>1248</v>
      </c>
      <c r="K592" t="s">
        <v>26</v>
      </c>
      <c r="L592">
        <v>3</v>
      </c>
    </row>
    <row r="593" spans="1:12">
      <c r="A593">
        <v>592</v>
      </c>
      <c r="B593" t="s">
        <v>1249</v>
      </c>
      <c r="C593" t="s">
        <v>1241</v>
      </c>
      <c r="D593" t="s">
        <v>99</v>
      </c>
      <c r="E593" s="3">
        <v>44788</v>
      </c>
      <c r="F593" s="3" t="str">
        <f t="shared" si="18"/>
        <v>15-Aug</v>
      </c>
      <c r="G593" s="3" t="str">
        <f t="shared" si="19"/>
        <v>Monday</v>
      </c>
      <c r="H593" t="s">
        <v>24</v>
      </c>
      <c r="I593" t="s">
        <v>19</v>
      </c>
      <c r="J593" t="s">
        <v>1250</v>
      </c>
      <c r="K593" t="s">
        <v>32</v>
      </c>
      <c r="L593">
        <v>6</v>
      </c>
    </row>
    <row r="594" spans="1:12">
      <c r="A594">
        <v>593</v>
      </c>
      <c r="B594" t="s">
        <v>1251</v>
      </c>
      <c r="C594" t="s">
        <v>1243</v>
      </c>
      <c r="D594" t="s">
        <v>103</v>
      </c>
      <c r="E594" s="3">
        <v>44788</v>
      </c>
      <c r="F594" s="3" t="str">
        <f t="shared" si="18"/>
        <v>15-Aug</v>
      </c>
      <c r="G594" s="3" t="str">
        <f t="shared" si="19"/>
        <v>Monday</v>
      </c>
      <c r="H594" t="s">
        <v>18</v>
      </c>
      <c r="I594" t="s">
        <v>19</v>
      </c>
      <c r="J594" t="s">
        <v>1252</v>
      </c>
      <c r="K594" t="s">
        <v>21</v>
      </c>
      <c r="L594">
        <v>6</v>
      </c>
    </row>
    <row r="595" spans="1:12">
      <c r="A595">
        <v>594</v>
      </c>
      <c r="B595" t="s">
        <v>1253</v>
      </c>
      <c r="C595" t="s">
        <v>1245</v>
      </c>
      <c r="D595" t="s">
        <v>106</v>
      </c>
      <c r="E595" s="3">
        <v>44758</v>
      </c>
      <c r="F595" s="3" t="str">
        <f t="shared" si="18"/>
        <v>16-Jul</v>
      </c>
      <c r="G595" s="3" t="str">
        <f t="shared" si="19"/>
        <v>Saturday</v>
      </c>
      <c r="H595" t="s">
        <v>24</v>
      </c>
      <c r="I595" t="s">
        <v>19</v>
      </c>
      <c r="J595" t="s">
        <v>1254</v>
      </c>
      <c r="K595" t="s">
        <v>26</v>
      </c>
      <c r="L595">
        <v>5</v>
      </c>
    </row>
    <row r="596" spans="1:12">
      <c r="A596">
        <v>595</v>
      </c>
      <c r="B596" t="s">
        <v>1255</v>
      </c>
      <c r="C596" t="s">
        <v>1247</v>
      </c>
      <c r="D596" t="s">
        <v>109</v>
      </c>
      <c r="E596" s="3">
        <v>44795</v>
      </c>
      <c r="F596" s="3" t="str">
        <f t="shared" si="18"/>
        <v>22-Aug</v>
      </c>
      <c r="G596" s="3" t="str">
        <f t="shared" si="19"/>
        <v>Monday</v>
      </c>
      <c r="H596" t="s">
        <v>18</v>
      </c>
      <c r="I596" t="s">
        <v>30</v>
      </c>
      <c r="J596" t="s">
        <v>1256</v>
      </c>
      <c r="K596" t="s">
        <v>32</v>
      </c>
      <c r="L596">
        <v>1</v>
      </c>
    </row>
    <row r="597" spans="1:12">
      <c r="A597">
        <v>596</v>
      </c>
      <c r="B597" t="s">
        <v>1257</v>
      </c>
      <c r="C597" t="s">
        <v>1249</v>
      </c>
      <c r="D597" t="s">
        <v>112</v>
      </c>
      <c r="E597" s="3">
        <v>44791</v>
      </c>
      <c r="F597" s="3" t="str">
        <f t="shared" si="18"/>
        <v>18-Aug</v>
      </c>
      <c r="G597" s="3" t="str">
        <f t="shared" si="19"/>
        <v>Thursday</v>
      </c>
      <c r="H597" t="s">
        <v>24</v>
      </c>
      <c r="I597" t="s">
        <v>19</v>
      </c>
      <c r="J597" t="s">
        <v>1258</v>
      </c>
      <c r="K597" t="s">
        <v>21</v>
      </c>
      <c r="L597">
        <v>9</v>
      </c>
    </row>
    <row r="598" spans="1:12">
      <c r="A598">
        <v>597</v>
      </c>
      <c r="B598" t="s">
        <v>1259</v>
      </c>
      <c r="C598" t="s">
        <v>1251</v>
      </c>
      <c r="D598" t="s">
        <v>115</v>
      </c>
      <c r="E598" s="3">
        <v>44791</v>
      </c>
      <c r="F598" s="3" t="str">
        <f t="shared" si="18"/>
        <v>18-Aug</v>
      </c>
      <c r="G598" s="3" t="str">
        <f t="shared" si="19"/>
        <v>Thursday</v>
      </c>
      <c r="H598" t="s">
        <v>24</v>
      </c>
      <c r="I598" t="s">
        <v>19</v>
      </c>
      <c r="J598" t="s">
        <v>1260</v>
      </c>
      <c r="K598" t="s">
        <v>26</v>
      </c>
      <c r="L598">
        <v>3</v>
      </c>
    </row>
    <row r="599" spans="1:12">
      <c r="A599">
        <v>598</v>
      </c>
      <c r="B599" t="s">
        <v>1261</v>
      </c>
      <c r="C599" t="s">
        <v>1253</v>
      </c>
      <c r="D599" t="s">
        <v>63</v>
      </c>
      <c r="E599" s="3">
        <v>44794</v>
      </c>
      <c r="F599" s="3" t="str">
        <f t="shared" si="18"/>
        <v>21-Aug</v>
      </c>
      <c r="G599" s="3" t="str">
        <f t="shared" si="19"/>
        <v>Sunday</v>
      </c>
      <c r="H599" t="s">
        <v>18</v>
      </c>
      <c r="I599" t="s">
        <v>19</v>
      </c>
      <c r="J599" t="s">
        <v>1262</v>
      </c>
      <c r="K599" t="s">
        <v>32</v>
      </c>
      <c r="L599">
        <v>4</v>
      </c>
    </row>
    <row r="600" spans="1:12">
      <c r="A600">
        <v>599</v>
      </c>
      <c r="B600" t="s">
        <v>1263</v>
      </c>
      <c r="C600" t="s">
        <v>1255</v>
      </c>
      <c r="D600" t="s">
        <v>87</v>
      </c>
      <c r="E600" s="3">
        <v>44756</v>
      </c>
      <c r="F600" s="3" t="str">
        <f t="shared" si="18"/>
        <v>14-Jul</v>
      </c>
      <c r="G600" s="3" t="str">
        <f t="shared" si="19"/>
        <v>Thursday</v>
      </c>
      <c r="H600" t="s">
        <v>24</v>
      </c>
      <c r="I600" t="s">
        <v>19</v>
      </c>
      <c r="J600" t="s">
        <v>1264</v>
      </c>
      <c r="K600" t="s">
        <v>21</v>
      </c>
      <c r="L600">
        <v>8</v>
      </c>
    </row>
    <row r="601" spans="1:12">
      <c r="A601">
        <v>600</v>
      </c>
      <c r="B601" t="s">
        <v>1265</v>
      </c>
      <c r="C601" t="s">
        <v>1257</v>
      </c>
      <c r="D601" t="s">
        <v>103</v>
      </c>
      <c r="E601" s="3">
        <v>44789</v>
      </c>
      <c r="F601" s="3" t="str">
        <f t="shared" si="18"/>
        <v>16-Aug</v>
      </c>
      <c r="G601" s="3" t="str">
        <f t="shared" si="19"/>
        <v>Tuesday</v>
      </c>
      <c r="H601" t="s">
        <v>24</v>
      </c>
      <c r="I601" t="s">
        <v>19</v>
      </c>
      <c r="J601" t="s">
        <v>1266</v>
      </c>
      <c r="K601" t="s">
        <v>21</v>
      </c>
      <c r="L601">
        <v>6</v>
      </c>
    </row>
    <row r="602" spans="1:12">
      <c r="A602">
        <v>601</v>
      </c>
      <c r="B602" t="s">
        <v>1267</v>
      </c>
      <c r="C602" t="s">
        <v>1259</v>
      </c>
      <c r="D602" t="s">
        <v>37</v>
      </c>
      <c r="E602" s="3">
        <v>44810</v>
      </c>
      <c r="F602" s="3" t="str">
        <f t="shared" si="18"/>
        <v>06-Sep</v>
      </c>
      <c r="G602" s="3" t="str">
        <f t="shared" si="19"/>
        <v>Tuesday</v>
      </c>
      <c r="H602" t="s">
        <v>18</v>
      </c>
      <c r="I602" t="s">
        <v>19</v>
      </c>
      <c r="J602" t="s">
        <v>1268</v>
      </c>
      <c r="K602" t="s">
        <v>21</v>
      </c>
      <c r="L602">
        <v>10</v>
      </c>
    </row>
    <row r="603" spans="1:12">
      <c r="A603">
        <v>602</v>
      </c>
      <c r="B603" t="s">
        <v>1269</v>
      </c>
      <c r="C603" t="s">
        <v>1261</v>
      </c>
      <c r="D603" t="s">
        <v>68</v>
      </c>
      <c r="E603" s="3">
        <v>44798</v>
      </c>
      <c r="F603" s="3" t="str">
        <f t="shared" si="18"/>
        <v>25-Aug</v>
      </c>
      <c r="G603" s="3" t="str">
        <f t="shared" si="19"/>
        <v>Thursday</v>
      </c>
      <c r="H603" t="s">
        <v>24</v>
      </c>
      <c r="I603" t="s">
        <v>19</v>
      </c>
      <c r="J603" t="s">
        <v>1270</v>
      </c>
      <c r="K603" t="s">
        <v>26</v>
      </c>
      <c r="L603">
        <v>9</v>
      </c>
    </row>
    <row r="604" spans="1:12">
      <c r="A604">
        <v>603</v>
      </c>
      <c r="B604" t="s">
        <v>1271</v>
      </c>
      <c r="C604" t="s">
        <v>1263</v>
      </c>
      <c r="D604" t="s">
        <v>109</v>
      </c>
      <c r="E604" s="3">
        <v>44791</v>
      </c>
      <c r="F604" s="3" t="str">
        <f t="shared" si="18"/>
        <v>18-Aug</v>
      </c>
      <c r="G604" s="3" t="str">
        <f t="shared" si="19"/>
        <v>Thursday</v>
      </c>
      <c r="H604" t="s">
        <v>18</v>
      </c>
      <c r="I604" t="s">
        <v>19</v>
      </c>
      <c r="J604" t="s">
        <v>1272</v>
      </c>
      <c r="K604" t="s">
        <v>32</v>
      </c>
      <c r="L604">
        <v>7</v>
      </c>
    </row>
    <row r="605" spans="1:12">
      <c r="A605">
        <v>604</v>
      </c>
      <c r="B605" t="s">
        <v>1273</v>
      </c>
      <c r="C605" t="s">
        <v>1265</v>
      </c>
      <c r="D605" t="s">
        <v>112</v>
      </c>
      <c r="E605" s="3">
        <v>44796</v>
      </c>
      <c r="F605" s="3" t="str">
        <f t="shared" si="18"/>
        <v>23-Aug</v>
      </c>
      <c r="G605" s="3" t="str">
        <f t="shared" si="19"/>
        <v>Tuesday</v>
      </c>
      <c r="H605" t="s">
        <v>24</v>
      </c>
      <c r="I605" t="s">
        <v>19</v>
      </c>
      <c r="J605" t="s">
        <v>1274</v>
      </c>
      <c r="K605" t="s">
        <v>21</v>
      </c>
      <c r="L605">
        <v>7</v>
      </c>
    </row>
    <row r="606" spans="1:12">
      <c r="A606">
        <v>605</v>
      </c>
      <c r="B606" t="s">
        <v>1275</v>
      </c>
      <c r="C606" t="s">
        <v>1267</v>
      </c>
      <c r="D606" t="s">
        <v>134</v>
      </c>
      <c r="E606" s="3">
        <v>44810</v>
      </c>
      <c r="F606" s="3" t="str">
        <f t="shared" si="18"/>
        <v>06-Sep</v>
      </c>
      <c r="G606" s="3" t="str">
        <f t="shared" si="19"/>
        <v>Tuesday</v>
      </c>
      <c r="H606" t="s">
        <v>18</v>
      </c>
      <c r="I606" t="s">
        <v>19</v>
      </c>
      <c r="J606" t="s">
        <v>1276</v>
      </c>
      <c r="K606" t="s">
        <v>26</v>
      </c>
      <c r="L606">
        <v>7</v>
      </c>
    </row>
    <row r="607" spans="1:12">
      <c r="A607">
        <v>606</v>
      </c>
      <c r="B607" t="s">
        <v>1277</v>
      </c>
      <c r="C607" t="s">
        <v>1269</v>
      </c>
      <c r="D607" t="s">
        <v>277</v>
      </c>
      <c r="E607" s="3">
        <v>44791</v>
      </c>
      <c r="F607" s="3" t="str">
        <f t="shared" si="18"/>
        <v>18-Aug</v>
      </c>
      <c r="G607" s="3" t="str">
        <f t="shared" si="19"/>
        <v>Thursday</v>
      </c>
      <c r="H607" t="s">
        <v>24</v>
      </c>
      <c r="I607" t="s">
        <v>19</v>
      </c>
      <c r="J607" t="s">
        <v>1278</v>
      </c>
      <c r="K607" t="s">
        <v>32</v>
      </c>
      <c r="L607">
        <v>7</v>
      </c>
    </row>
    <row r="608" spans="1:12">
      <c r="A608">
        <v>607</v>
      </c>
      <c r="B608" t="s">
        <v>1279</v>
      </c>
      <c r="C608" t="s">
        <v>1271</v>
      </c>
      <c r="D608" t="s">
        <v>139</v>
      </c>
      <c r="E608" s="3">
        <v>44797</v>
      </c>
      <c r="F608" s="3" t="str">
        <f t="shared" si="18"/>
        <v>24-Aug</v>
      </c>
      <c r="G608" s="3" t="str">
        <f t="shared" si="19"/>
        <v>Wednesday</v>
      </c>
      <c r="H608" t="s">
        <v>29</v>
      </c>
      <c r="I608" t="s">
        <v>19</v>
      </c>
      <c r="J608" t="s">
        <v>1280</v>
      </c>
      <c r="K608" t="s">
        <v>21</v>
      </c>
      <c r="L608">
        <v>8</v>
      </c>
    </row>
    <row r="609" spans="1:12">
      <c r="A609">
        <v>608</v>
      </c>
      <c r="B609" t="s">
        <v>1281</v>
      </c>
      <c r="C609" t="s">
        <v>1273</v>
      </c>
      <c r="D609" t="s">
        <v>142</v>
      </c>
      <c r="E609" s="3">
        <v>44777</v>
      </c>
      <c r="F609" s="3" t="str">
        <f t="shared" si="18"/>
        <v>04-Aug</v>
      </c>
      <c r="G609" s="3" t="str">
        <f t="shared" si="19"/>
        <v>Thursday</v>
      </c>
      <c r="H609" t="s">
        <v>18</v>
      </c>
      <c r="I609" t="s">
        <v>19</v>
      </c>
      <c r="J609" t="s">
        <v>1282</v>
      </c>
      <c r="K609" t="s">
        <v>26</v>
      </c>
      <c r="L609">
        <v>10</v>
      </c>
    </row>
    <row r="610" spans="1:12">
      <c r="A610">
        <v>609</v>
      </c>
      <c r="B610" t="s">
        <v>1283</v>
      </c>
      <c r="C610" t="s">
        <v>1275</v>
      </c>
      <c r="D610" t="s">
        <v>145</v>
      </c>
      <c r="E610" s="3">
        <v>44802</v>
      </c>
      <c r="F610" s="3" t="str">
        <f t="shared" si="18"/>
        <v>29-Aug</v>
      </c>
      <c r="G610" s="3" t="str">
        <f t="shared" si="19"/>
        <v>Monday</v>
      </c>
      <c r="H610" t="s">
        <v>24</v>
      </c>
      <c r="I610" t="s">
        <v>19</v>
      </c>
      <c r="J610" t="s">
        <v>1284</v>
      </c>
      <c r="K610" t="s">
        <v>32</v>
      </c>
      <c r="L610">
        <v>10</v>
      </c>
    </row>
    <row r="611" spans="1:12">
      <c r="A611">
        <v>610</v>
      </c>
      <c r="B611" t="s">
        <v>1285</v>
      </c>
      <c r="C611" t="s">
        <v>1277</v>
      </c>
      <c r="D611" t="s">
        <v>148</v>
      </c>
      <c r="E611" s="3">
        <v>44758</v>
      </c>
      <c r="F611" s="3" t="str">
        <f t="shared" si="18"/>
        <v>16-Jul</v>
      </c>
      <c r="G611" s="3" t="str">
        <f t="shared" si="19"/>
        <v>Saturday</v>
      </c>
      <c r="H611" t="s">
        <v>24</v>
      </c>
      <c r="I611" t="s">
        <v>19</v>
      </c>
      <c r="J611" t="s">
        <v>1286</v>
      </c>
      <c r="K611" t="s">
        <v>21</v>
      </c>
      <c r="L611">
        <v>10</v>
      </c>
    </row>
    <row r="612" spans="1:12">
      <c r="A612">
        <v>611</v>
      </c>
      <c r="B612" t="s">
        <v>1287</v>
      </c>
      <c r="C612" t="s">
        <v>1279</v>
      </c>
      <c r="D612" t="s">
        <v>151</v>
      </c>
      <c r="E612" s="3">
        <v>44768</v>
      </c>
      <c r="F612" s="3" t="str">
        <f t="shared" si="18"/>
        <v>26-Jul</v>
      </c>
      <c r="G612" s="3" t="str">
        <f t="shared" si="19"/>
        <v>Tuesday</v>
      </c>
      <c r="H612" t="s">
        <v>18</v>
      </c>
      <c r="I612" t="s">
        <v>19</v>
      </c>
      <c r="J612" t="s">
        <v>1288</v>
      </c>
      <c r="K612" t="s">
        <v>26</v>
      </c>
      <c r="L612">
        <v>10</v>
      </c>
    </row>
    <row r="613" spans="1:12">
      <c r="A613">
        <v>612</v>
      </c>
      <c r="B613" t="s">
        <v>1289</v>
      </c>
      <c r="C613" t="s">
        <v>1281</v>
      </c>
      <c r="D613" t="s">
        <v>154</v>
      </c>
      <c r="E613" s="3">
        <v>44756</v>
      </c>
      <c r="F613" s="3" t="str">
        <f t="shared" si="18"/>
        <v>14-Jul</v>
      </c>
      <c r="G613" s="3" t="str">
        <f t="shared" si="19"/>
        <v>Thursday</v>
      </c>
      <c r="H613" t="s">
        <v>24</v>
      </c>
      <c r="I613" t="s">
        <v>19</v>
      </c>
      <c r="J613" t="s">
        <v>1290</v>
      </c>
      <c r="K613" t="s">
        <v>32</v>
      </c>
      <c r="L613">
        <v>8</v>
      </c>
    </row>
    <row r="614" spans="1:12">
      <c r="A614">
        <v>613</v>
      </c>
      <c r="B614" t="s">
        <v>1291</v>
      </c>
      <c r="C614" t="s">
        <v>1283</v>
      </c>
      <c r="D614" t="s">
        <v>84</v>
      </c>
      <c r="E614" s="3">
        <v>44809</v>
      </c>
      <c r="F614" s="3" t="str">
        <f t="shared" si="18"/>
        <v>05-Sep</v>
      </c>
      <c r="G614" s="3" t="str">
        <f t="shared" si="19"/>
        <v>Monday</v>
      </c>
      <c r="H614" t="s">
        <v>18</v>
      </c>
      <c r="I614" t="s">
        <v>19</v>
      </c>
      <c r="J614" t="s">
        <v>1292</v>
      </c>
      <c r="K614" t="s">
        <v>21</v>
      </c>
      <c r="L614">
        <v>7</v>
      </c>
    </row>
    <row r="615" spans="1:12">
      <c r="A615">
        <v>614</v>
      </c>
      <c r="B615" t="s">
        <v>1293</v>
      </c>
      <c r="C615" t="s">
        <v>1285</v>
      </c>
      <c r="D615" t="s">
        <v>87</v>
      </c>
      <c r="E615" s="3">
        <v>44801</v>
      </c>
      <c r="F615" s="3" t="str">
        <f t="shared" si="18"/>
        <v>28-Aug</v>
      </c>
      <c r="G615" s="3" t="str">
        <f t="shared" si="19"/>
        <v>Sunday</v>
      </c>
      <c r="H615" t="s">
        <v>24</v>
      </c>
      <c r="I615" t="s">
        <v>19</v>
      </c>
      <c r="J615" t="s">
        <v>1294</v>
      </c>
      <c r="K615" t="s">
        <v>26</v>
      </c>
      <c r="L615">
        <v>7</v>
      </c>
    </row>
    <row r="616" spans="1:12">
      <c r="A616">
        <v>615</v>
      </c>
      <c r="B616" t="s">
        <v>1295</v>
      </c>
      <c r="C616" t="s">
        <v>1287</v>
      </c>
      <c r="D616" t="s">
        <v>90</v>
      </c>
      <c r="E616" s="3">
        <v>44794</v>
      </c>
      <c r="F616" s="3" t="str">
        <f t="shared" si="18"/>
        <v>21-Aug</v>
      </c>
      <c r="G616" s="3" t="str">
        <f t="shared" si="19"/>
        <v>Sunday</v>
      </c>
      <c r="H616" t="s">
        <v>24</v>
      </c>
      <c r="I616" t="s">
        <v>19</v>
      </c>
      <c r="J616" t="s">
        <v>1296</v>
      </c>
      <c r="K616" t="s">
        <v>32</v>
      </c>
      <c r="L616">
        <v>9</v>
      </c>
    </row>
    <row r="617" spans="1:12">
      <c r="A617">
        <v>616</v>
      </c>
      <c r="B617" t="s">
        <v>1297</v>
      </c>
      <c r="C617" t="s">
        <v>1289</v>
      </c>
      <c r="D617" t="s">
        <v>54</v>
      </c>
      <c r="E617" s="3">
        <v>44792</v>
      </c>
      <c r="F617" s="3" t="str">
        <f t="shared" si="18"/>
        <v>19-Aug</v>
      </c>
      <c r="G617" s="3" t="str">
        <f t="shared" si="19"/>
        <v>Friday</v>
      </c>
      <c r="H617" t="s">
        <v>18</v>
      </c>
      <c r="I617" t="s">
        <v>19</v>
      </c>
      <c r="J617" t="s">
        <v>1298</v>
      </c>
      <c r="K617" t="s">
        <v>21</v>
      </c>
      <c r="L617">
        <v>8</v>
      </c>
    </row>
    <row r="618" spans="1:12">
      <c r="A618">
        <v>617</v>
      </c>
      <c r="B618" t="s">
        <v>1299</v>
      </c>
      <c r="C618" t="s">
        <v>1291</v>
      </c>
      <c r="D618" t="s">
        <v>96</v>
      </c>
      <c r="E618" s="3">
        <v>44770</v>
      </c>
      <c r="F618" s="3" t="str">
        <f t="shared" si="18"/>
        <v>28-Jul</v>
      </c>
      <c r="G618" s="3" t="str">
        <f t="shared" si="19"/>
        <v>Thursday</v>
      </c>
      <c r="H618" t="s">
        <v>24</v>
      </c>
      <c r="I618" t="s">
        <v>30</v>
      </c>
      <c r="J618" t="s">
        <v>1300</v>
      </c>
      <c r="K618" t="s">
        <v>26</v>
      </c>
      <c r="L618">
        <v>8</v>
      </c>
    </row>
    <row r="619" spans="1:12">
      <c r="A619">
        <v>618</v>
      </c>
      <c r="B619" t="s">
        <v>1301</v>
      </c>
      <c r="C619" t="s">
        <v>1293</v>
      </c>
      <c r="D619" t="s">
        <v>99</v>
      </c>
      <c r="E619" s="3">
        <v>44761</v>
      </c>
      <c r="F619" s="3" t="str">
        <f t="shared" si="18"/>
        <v>19-Jul</v>
      </c>
      <c r="G619" s="3" t="str">
        <f t="shared" si="19"/>
        <v>Tuesday</v>
      </c>
      <c r="H619" t="s">
        <v>24</v>
      </c>
      <c r="I619" t="s">
        <v>19</v>
      </c>
      <c r="J619" t="s">
        <v>1302</v>
      </c>
      <c r="K619" t="s">
        <v>32</v>
      </c>
      <c r="L619">
        <v>7</v>
      </c>
    </row>
    <row r="620" spans="1:12">
      <c r="A620">
        <v>619</v>
      </c>
      <c r="B620" t="s">
        <v>1303</v>
      </c>
      <c r="C620" t="s">
        <v>1295</v>
      </c>
      <c r="D620" t="s">
        <v>103</v>
      </c>
      <c r="E620" s="3">
        <v>44773</v>
      </c>
      <c r="F620" s="3" t="str">
        <f t="shared" si="18"/>
        <v>31-Jul</v>
      </c>
      <c r="G620" s="3" t="str">
        <f t="shared" si="19"/>
        <v>Sunday</v>
      </c>
      <c r="H620" t="s">
        <v>18</v>
      </c>
      <c r="I620" t="s">
        <v>19</v>
      </c>
      <c r="J620" t="s">
        <v>1304</v>
      </c>
      <c r="K620" t="s">
        <v>21</v>
      </c>
      <c r="L620">
        <v>8</v>
      </c>
    </row>
    <row r="621" spans="1:12">
      <c r="A621">
        <v>620</v>
      </c>
      <c r="B621" t="s">
        <v>1305</v>
      </c>
      <c r="C621" t="s">
        <v>1297</v>
      </c>
      <c r="D621" t="s">
        <v>106</v>
      </c>
      <c r="E621" s="3">
        <v>44766</v>
      </c>
      <c r="F621" s="3" t="str">
        <f t="shared" si="18"/>
        <v>24-Jul</v>
      </c>
      <c r="G621" s="3" t="str">
        <f t="shared" si="19"/>
        <v>Sunday</v>
      </c>
      <c r="H621" t="s">
        <v>24</v>
      </c>
      <c r="I621" t="s">
        <v>19</v>
      </c>
      <c r="J621" t="s">
        <v>1306</v>
      </c>
      <c r="K621" t="s">
        <v>26</v>
      </c>
      <c r="L621">
        <v>8</v>
      </c>
    </row>
    <row r="622" spans="1:12">
      <c r="A622">
        <v>621</v>
      </c>
      <c r="B622" t="s">
        <v>1307</v>
      </c>
      <c r="C622" t="s">
        <v>1299</v>
      </c>
      <c r="D622" t="s">
        <v>109</v>
      </c>
      <c r="E622" s="3">
        <v>44793</v>
      </c>
      <c r="F622" s="3" t="str">
        <f t="shared" si="18"/>
        <v>20-Aug</v>
      </c>
      <c r="G622" s="3" t="str">
        <f t="shared" si="19"/>
        <v>Saturday</v>
      </c>
      <c r="H622" t="s">
        <v>18</v>
      </c>
      <c r="I622" t="s">
        <v>19</v>
      </c>
      <c r="J622" t="s">
        <v>1308</v>
      </c>
      <c r="K622" t="s">
        <v>32</v>
      </c>
      <c r="L622">
        <v>9</v>
      </c>
    </row>
    <row r="623" spans="1:12">
      <c r="A623">
        <v>622</v>
      </c>
      <c r="B623" t="s">
        <v>1309</v>
      </c>
      <c r="C623" t="s">
        <v>1301</v>
      </c>
      <c r="D623" t="s">
        <v>112</v>
      </c>
      <c r="E623" s="3">
        <v>44769</v>
      </c>
      <c r="F623" s="3" t="str">
        <f t="shared" si="18"/>
        <v>27-Jul</v>
      </c>
      <c r="G623" s="3" t="str">
        <f t="shared" si="19"/>
        <v>Wednesday</v>
      </c>
      <c r="H623" t="s">
        <v>24</v>
      </c>
      <c r="I623" t="s">
        <v>19</v>
      </c>
      <c r="J623" t="s">
        <v>1310</v>
      </c>
      <c r="K623" t="s">
        <v>21</v>
      </c>
      <c r="L623">
        <v>9</v>
      </c>
    </row>
    <row r="624" spans="1:12">
      <c r="A624">
        <v>623</v>
      </c>
      <c r="B624" t="s">
        <v>1311</v>
      </c>
      <c r="C624" t="s">
        <v>1303</v>
      </c>
      <c r="D624" t="s">
        <v>17</v>
      </c>
      <c r="E624" s="3">
        <v>44758</v>
      </c>
      <c r="F624" s="3" t="str">
        <f t="shared" si="18"/>
        <v>16-Jul</v>
      </c>
      <c r="G624" s="3" t="str">
        <f t="shared" si="19"/>
        <v>Saturday</v>
      </c>
      <c r="H624" t="s">
        <v>18</v>
      </c>
      <c r="I624" t="s">
        <v>30</v>
      </c>
      <c r="J624" t="s">
        <v>1312</v>
      </c>
      <c r="K624" t="s">
        <v>26</v>
      </c>
      <c r="L624">
        <v>8</v>
      </c>
    </row>
    <row r="625" spans="1:12">
      <c r="A625">
        <v>624</v>
      </c>
      <c r="B625" t="s">
        <v>1313</v>
      </c>
      <c r="C625" t="s">
        <v>1305</v>
      </c>
      <c r="D625" t="s">
        <v>23</v>
      </c>
      <c r="E625" s="3">
        <v>44803</v>
      </c>
      <c r="F625" s="3" t="str">
        <f t="shared" si="18"/>
        <v>30-Aug</v>
      </c>
      <c r="G625" s="3" t="str">
        <f t="shared" si="19"/>
        <v>Tuesday</v>
      </c>
      <c r="H625" t="s">
        <v>24</v>
      </c>
      <c r="I625" t="s">
        <v>19</v>
      </c>
      <c r="J625" t="s">
        <v>1314</v>
      </c>
      <c r="K625" t="s">
        <v>32</v>
      </c>
      <c r="L625">
        <v>8</v>
      </c>
    </row>
    <row r="626" spans="1:12">
      <c r="A626">
        <v>625</v>
      </c>
      <c r="B626" t="s">
        <v>1315</v>
      </c>
      <c r="C626" t="s">
        <v>1307</v>
      </c>
      <c r="D626" t="s">
        <v>28</v>
      </c>
      <c r="E626" s="3">
        <v>44808</v>
      </c>
      <c r="F626" s="3" t="str">
        <f t="shared" si="18"/>
        <v>04-Sep</v>
      </c>
      <c r="G626" s="3" t="str">
        <f t="shared" si="19"/>
        <v>Sunday</v>
      </c>
      <c r="H626" t="s">
        <v>29</v>
      </c>
      <c r="I626" t="s">
        <v>19</v>
      </c>
      <c r="J626" t="s">
        <v>1316</v>
      </c>
      <c r="K626" t="s">
        <v>21</v>
      </c>
      <c r="L626">
        <v>7</v>
      </c>
    </row>
    <row r="627" spans="1:12">
      <c r="A627">
        <v>626</v>
      </c>
      <c r="B627" t="s">
        <v>1317</v>
      </c>
      <c r="C627" t="s">
        <v>1309</v>
      </c>
      <c r="D627" t="s">
        <v>34</v>
      </c>
      <c r="E627" s="3">
        <v>44784</v>
      </c>
      <c r="F627" s="3" t="str">
        <f t="shared" si="18"/>
        <v>11-Aug</v>
      </c>
      <c r="G627" s="3" t="str">
        <f t="shared" si="19"/>
        <v>Thursday</v>
      </c>
      <c r="H627" t="s">
        <v>18</v>
      </c>
      <c r="I627" t="s">
        <v>19</v>
      </c>
      <c r="J627" t="s">
        <v>1318</v>
      </c>
      <c r="K627" t="s">
        <v>26</v>
      </c>
      <c r="L627">
        <v>8</v>
      </c>
    </row>
    <row r="628" spans="1:12">
      <c r="A628">
        <v>627</v>
      </c>
      <c r="B628" t="s">
        <v>1319</v>
      </c>
      <c r="C628" t="s">
        <v>1311</v>
      </c>
      <c r="D628" t="s">
        <v>37</v>
      </c>
      <c r="E628" s="3">
        <v>44764</v>
      </c>
      <c r="F628" s="3" t="str">
        <f t="shared" si="18"/>
        <v>22-Jul</v>
      </c>
      <c r="G628" s="3" t="str">
        <f t="shared" si="19"/>
        <v>Friday</v>
      </c>
      <c r="H628" t="s">
        <v>24</v>
      </c>
      <c r="I628" t="s">
        <v>19</v>
      </c>
      <c r="J628" t="s">
        <v>1320</v>
      </c>
      <c r="K628" t="s">
        <v>32</v>
      </c>
      <c r="L628">
        <v>9</v>
      </c>
    </row>
    <row r="629" spans="1:12">
      <c r="A629">
        <v>628</v>
      </c>
      <c r="B629" t="s">
        <v>1321</v>
      </c>
      <c r="C629" t="s">
        <v>1313</v>
      </c>
      <c r="D629" t="s">
        <v>40</v>
      </c>
      <c r="E629" s="3">
        <v>44795</v>
      </c>
      <c r="F629" s="3" t="str">
        <f t="shared" si="18"/>
        <v>22-Aug</v>
      </c>
      <c r="G629" s="3" t="str">
        <f t="shared" si="19"/>
        <v>Monday</v>
      </c>
      <c r="H629" t="s">
        <v>24</v>
      </c>
      <c r="I629" t="s">
        <v>19</v>
      </c>
      <c r="J629" t="s">
        <v>1322</v>
      </c>
      <c r="K629" t="s">
        <v>21</v>
      </c>
      <c r="L629">
        <v>7</v>
      </c>
    </row>
    <row r="630" spans="1:12">
      <c r="A630">
        <v>629</v>
      </c>
      <c r="B630" t="s">
        <v>1323</v>
      </c>
      <c r="C630" t="s">
        <v>1315</v>
      </c>
      <c r="D630" t="s">
        <v>43</v>
      </c>
      <c r="E630" s="3">
        <v>44799</v>
      </c>
      <c r="F630" s="3" t="str">
        <f t="shared" si="18"/>
        <v>26-Aug</v>
      </c>
      <c r="G630" s="3" t="str">
        <f t="shared" si="19"/>
        <v>Friday</v>
      </c>
      <c r="H630" t="s">
        <v>18</v>
      </c>
      <c r="I630" t="s">
        <v>19</v>
      </c>
      <c r="J630" t="s">
        <v>1324</v>
      </c>
      <c r="K630" t="s">
        <v>26</v>
      </c>
      <c r="L630">
        <v>8</v>
      </c>
    </row>
    <row r="631" spans="1:12">
      <c r="A631">
        <v>630</v>
      </c>
      <c r="B631" t="s">
        <v>1325</v>
      </c>
      <c r="C631" t="s">
        <v>1317</v>
      </c>
      <c r="D631" t="s">
        <v>43</v>
      </c>
      <c r="E631" s="3">
        <v>44800</v>
      </c>
      <c r="F631" s="3" t="str">
        <f t="shared" si="18"/>
        <v>27-Aug</v>
      </c>
      <c r="G631" s="3" t="str">
        <f t="shared" si="19"/>
        <v>Saturday</v>
      </c>
      <c r="H631" t="s">
        <v>24</v>
      </c>
      <c r="I631" t="s">
        <v>19</v>
      </c>
      <c r="J631" t="s">
        <v>1326</v>
      </c>
      <c r="K631" t="s">
        <v>32</v>
      </c>
      <c r="L631">
        <v>9</v>
      </c>
    </row>
    <row r="632" spans="1:12">
      <c r="A632">
        <v>631</v>
      </c>
      <c r="B632" t="s">
        <v>1327</v>
      </c>
      <c r="C632" t="s">
        <v>1319</v>
      </c>
      <c r="D632" t="s">
        <v>49</v>
      </c>
      <c r="E632" s="3">
        <v>44771</v>
      </c>
      <c r="F632" s="3" t="str">
        <f t="shared" si="18"/>
        <v>29-Jul</v>
      </c>
      <c r="G632" s="3" t="str">
        <f t="shared" si="19"/>
        <v>Friday</v>
      </c>
      <c r="H632" t="s">
        <v>18</v>
      </c>
      <c r="I632" t="s">
        <v>19</v>
      </c>
      <c r="J632" t="s">
        <v>1328</v>
      </c>
      <c r="K632" t="s">
        <v>21</v>
      </c>
      <c r="L632">
        <v>8</v>
      </c>
    </row>
    <row r="633" spans="1:12">
      <c r="A633">
        <v>632</v>
      </c>
      <c r="B633" t="s">
        <v>1329</v>
      </c>
      <c r="C633" t="s">
        <v>1321</v>
      </c>
      <c r="D633" t="s">
        <v>40</v>
      </c>
      <c r="E633" s="3">
        <v>44760</v>
      </c>
      <c r="F633" s="3" t="str">
        <f t="shared" si="18"/>
        <v>18-Jul</v>
      </c>
      <c r="G633" s="3" t="str">
        <f t="shared" si="19"/>
        <v>Monday</v>
      </c>
      <c r="H633" t="s">
        <v>24</v>
      </c>
      <c r="I633" t="s">
        <v>19</v>
      </c>
      <c r="J633" t="s">
        <v>1330</v>
      </c>
      <c r="K633" t="s">
        <v>26</v>
      </c>
      <c r="L633">
        <v>7</v>
      </c>
    </row>
    <row r="634" spans="1:12">
      <c r="A634">
        <v>633</v>
      </c>
      <c r="B634" t="s">
        <v>1331</v>
      </c>
      <c r="C634" t="s">
        <v>1323</v>
      </c>
      <c r="D634" t="s">
        <v>54</v>
      </c>
      <c r="E634" s="3">
        <v>44778</v>
      </c>
      <c r="F634" s="3" t="str">
        <f t="shared" si="18"/>
        <v>05-Aug</v>
      </c>
      <c r="G634" s="3" t="str">
        <f t="shared" si="19"/>
        <v>Friday</v>
      </c>
      <c r="H634" t="s">
        <v>24</v>
      </c>
      <c r="I634" t="s">
        <v>19</v>
      </c>
      <c r="J634" t="s">
        <v>1332</v>
      </c>
      <c r="K634" t="s">
        <v>32</v>
      </c>
      <c r="L634">
        <v>10</v>
      </c>
    </row>
    <row r="635" spans="1:12">
      <c r="A635">
        <v>634</v>
      </c>
      <c r="B635" t="s">
        <v>1333</v>
      </c>
      <c r="C635" t="s">
        <v>1325</v>
      </c>
      <c r="D635" t="s">
        <v>57</v>
      </c>
      <c r="E635" s="3">
        <v>44755</v>
      </c>
      <c r="F635" s="3" t="str">
        <f t="shared" si="18"/>
        <v>13-Jul</v>
      </c>
      <c r="G635" s="3" t="str">
        <f t="shared" si="19"/>
        <v>Wednesday</v>
      </c>
      <c r="H635" t="s">
        <v>18</v>
      </c>
      <c r="I635" t="s">
        <v>19</v>
      </c>
      <c r="J635" t="s">
        <v>1334</v>
      </c>
      <c r="K635" t="s">
        <v>21</v>
      </c>
      <c r="L635">
        <v>7</v>
      </c>
    </row>
    <row r="636" spans="1:12">
      <c r="A636">
        <v>635</v>
      </c>
      <c r="B636" t="s">
        <v>1335</v>
      </c>
      <c r="C636" t="s">
        <v>1327</v>
      </c>
      <c r="D636" t="s">
        <v>60</v>
      </c>
      <c r="E636" s="3">
        <v>44770</v>
      </c>
      <c r="F636" s="3" t="str">
        <f t="shared" si="18"/>
        <v>28-Jul</v>
      </c>
      <c r="G636" s="3" t="str">
        <f t="shared" si="19"/>
        <v>Thursday</v>
      </c>
      <c r="H636" t="s">
        <v>24</v>
      </c>
      <c r="I636" t="s">
        <v>19</v>
      </c>
      <c r="J636" t="s">
        <v>1336</v>
      </c>
      <c r="K636" t="s">
        <v>26</v>
      </c>
      <c r="L636">
        <v>8</v>
      </c>
    </row>
    <row r="637" spans="1:12">
      <c r="A637">
        <v>636</v>
      </c>
      <c r="B637" t="s">
        <v>1337</v>
      </c>
      <c r="C637" t="s">
        <v>1329</v>
      </c>
      <c r="D637" t="s">
        <v>63</v>
      </c>
      <c r="E637" s="3">
        <v>44772</v>
      </c>
      <c r="F637" s="3" t="str">
        <f t="shared" si="18"/>
        <v>30-Jul</v>
      </c>
      <c r="G637" s="3" t="str">
        <f t="shared" si="19"/>
        <v>Saturday</v>
      </c>
      <c r="H637" t="s">
        <v>24</v>
      </c>
      <c r="I637" t="s">
        <v>19</v>
      </c>
      <c r="J637" t="s">
        <v>1338</v>
      </c>
      <c r="K637" t="s">
        <v>32</v>
      </c>
      <c r="L637">
        <v>7</v>
      </c>
    </row>
    <row r="638" spans="1:12">
      <c r="A638">
        <v>637</v>
      </c>
      <c r="B638" t="s">
        <v>1339</v>
      </c>
      <c r="C638" t="s">
        <v>1331</v>
      </c>
      <c r="D638" t="s">
        <v>40</v>
      </c>
      <c r="E638" s="3">
        <v>44799</v>
      </c>
      <c r="F638" s="3" t="str">
        <f t="shared" si="18"/>
        <v>26-Aug</v>
      </c>
      <c r="G638" s="3" t="str">
        <f t="shared" si="19"/>
        <v>Friday</v>
      </c>
      <c r="H638" t="s">
        <v>18</v>
      </c>
      <c r="I638" t="s">
        <v>19</v>
      </c>
      <c r="J638" t="s">
        <v>1340</v>
      </c>
      <c r="K638" t="s">
        <v>21</v>
      </c>
      <c r="L638">
        <v>9</v>
      </c>
    </row>
    <row r="639" spans="1:12">
      <c r="A639">
        <v>638</v>
      </c>
      <c r="B639" t="s">
        <v>1341</v>
      </c>
      <c r="C639" t="s">
        <v>1333</v>
      </c>
      <c r="D639" t="s">
        <v>68</v>
      </c>
      <c r="E639" s="3">
        <v>44782</v>
      </c>
      <c r="F639" s="3" t="str">
        <f t="shared" si="18"/>
        <v>09-Aug</v>
      </c>
      <c r="G639" s="3" t="str">
        <f t="shared" si="19"/>
        <v>Tuesday</v>
      </c>
      <c r="H639" t="s">
        <v>24</v>
      </c>
      <c r="I639" t="s">
        <v>19</v>
      </c>
      <c r="J639" t="s">
        <v>1342</v>
      </c>
      <c r="K639" t="s">
        <v>26</v>
      </c>
      <c r="L639">
        <v>8</v>
      </c>
    </row>
    <row r="640" spans="1:12">
      <c r="A640">
        <v>639</v>
      </c>
      <c r="B640" t="s">
        <v>1343</v>
      </c>
      <c r="C640" t="s">
        <v>1335</v>
      </c>
      <c r="D640" t="s">
        <v>57</v>
      </c>
      <c r="E640" s="3">
        <v>44761</v>
      </c>
      <c r="F640" s="3" t="str">
        <f t="shared" si="18"/>
        <v>19-Jul</v>
      </c>
      <c r="G640" s="3" t="str">
        <f t="shared" si="19"/>
        <v>Tuesday</v>
      </c>
      <c r="H640" t="s">
        <v>18</v>
      </c>
      <c r="I640" t="s">
        <v>19</v>
      </c>
      <c r="J640" t="s">
        <v>1344</v>
      </c>
      <c r="K640" t="s">
        <v>32</v>
      </c>
      <c r="L640">
        <v>9</v>
      </c>
    </row>
    <row r="641" spans="1:12">
      <c r="A641">
        <v>640</v>
      </c>
      <c r="B641" t="s">
        <v>1345</v>
      </c>
      <c r="C641" t="s">
        <v>1337</v>
      </c>
      <c r="D641" t="s">
        <v>37</v>
      </c>
      <c r="E641" s="3">
        <v>44794</v>
      </c>
      <c r="F641" s="3" t="str">
        <f t="shared" si="18"/>
        <v>21-Aug</v>
      </c>
      <c r="G641" s="3" t="str">
        <f t="shared" si="19"/>
        <v>Sunday</v>
      </c>
      <c r="H641" t="s">
        <v>24</v>
      </c>
      <c r="I641" t="s">
        <v>19</v>
      </c>
      <c r="J641" t="s">
        <v>1346</v>
      </c>
      <c r="K641" t="s">
        <v>21</v>
      </c>
      <c r="L641">
        <v>9</v>
      </c>
    </row>
    <row r="642" spans="1:12">
      <c r="A642">
        <v>641</v>
      </c>
      <c r="B642" t="s">
        <v>1347</v>
      </c>
      <c r="C642" t="s">
        <v>1339</v>
      </c>
      <c r="D642" t="s">
        <v>75</v>
      </c>
      <c r="E642" s="3">
        <v>44762</v>
      </c>
      <c r="F642" s="3" t="str">
        <f t="shared" ref="F642:F705" si="20">TEXT(E642,"dd-mmm")</f>
        <v>20-Jul</v>
      </c>
      <c r="G642" s="3" t="str">
        <f t="shared" ref="G642:G705" si="21">TEXT(E642,"dddd")</f>
        <v>Wednesday</v>
      </c>
      <c r="H642" t="s">
        <v>18</v>
      </c>
      <c r="I642" t="s">
        <v>19</v>
      </c>
      <c r="J642" t="s">
        <v>1348</v>
      </c>
      <c r="K642" t="s">
        <v>26</v>
      </c>
      <c r="L642">
        <v>9</v>
      </c>
    </row>
    <row r="643" spans="1:12">
      <c r="A643">
        <v>642</v>
      </c>
      <c r="B643" t="s">
        <v>1349</v>
      </c>
      <c r="C643" t="s">
        <v>1341</v>
      </c>
      <c r="D643" t="s">
        <v>78</v>
      </c>
      <c r="E643" s="3">
        <v>44769</v>
      </c>
      <c r="F643" s="3" t="str">
        <f t="shared" si="20"/>
        <v>27-Jul</v>
      </c>
      <c r="G643" s="3" t="str">
        <f t="shared" si="21"/>
        <v>Wednesday</v>
      </c>
      <c r="H643" t="s">
        <v>24</v>
      </c>
      <c r="I643" t="s">
        <v>19</v>
      </c>
      <c r="J643" t="s">
        <v>1350</v>
      </c>
      <c r="K643" t="s">
        <v>32</v>
      </c>
      <c r="L643">
        <v>9</v>
      </c>
    </row>
    <row r="644" spans="1:12">
      <c r="A644">
        <v>643</v>
      </c>
      <c r="B644" t="s">
        <v>1351</v>
      </c>
      <c r="C644" t="s">
        <v>1343</v>
      </c>
      <c r="D644" t="s">
        <v>81</v>
      </c>
      <c r="E644" s="3">
        <v>44770</v>
      </c>
      <c r="F644" s="3" t="str">
        <f t="shared" si="20"/>
        <v>28-Jul</v>
      </c>
      <c r="G644" s="3" t="str">
        <f t="shared" si="21"/>
        <v>Thursday</v>
      </c>
      <c r="H644" t="s">
        <v>29</v>
      </c>
      <c r="I644" t="s">
        <v>19</v>
      </c>
      <c r="J644" t="s">
        <v>1352</v>
      </c>
      <c r="K644" t="s">
        <v>21</v>
      </c>
      <c r="L644">
        <v>9</v>
      </c>
    </row>
    <row r="645" spans="1:12">
      <c r="A645">
        <v>644</v>
      </c>
      <c r="B645" t="s">
        <v>1353</v>
      </c>
      <c r="C645" t="s">
        <v>1345</v>
      </c>
      <c r="D645" t="s">
        <v>54</v>
      </c>
      <c r="E645" s="3">
        <v>44797</v>
      </c>
      <c r="F645" s="3" t="str">
        <f t="shared" si="20"/>
        <v>24-Aug</v>
      </c>
      <c r="G645" s="3" t="str">
        <f t="shared" si="21"/>
        <v>Wednesday</v>
      </c>
      <c r="H645" t="s">
        <v>18</v>
      </c>
      <c r="I645" t="s">
        <v>19</v>
      </c>
      <c r="J645" t="s">
        <v>1354</v>
      </c>
      <c r="K645" t="s">
        <v>26</v>
      </c>
      <c r="L645">
        <v>8</v>
      </c>
    </row>
    <row r="646" spans="1:12">
      <c r="A646">
        <v>645</v>
      </c>
      <c r="B646" t="s">
        <v>1355</v>
      </c>
      <c r="C646" t="s">
        <v>1347</v>
      </c>
      <c r="D646" t="s">
        <v>87</v>
      </c>
      <c r="E646" s="3">
        <v>44783</v>
      </c>
      <c r="F646" s="3" t="str">
        <f t="shared" si="20"/>
        <v>10-Aug</v>
      </c>
      <c r="G646" s="3" t="str">
        <f t="shared" si="21"/>
        <v>Wednesday</v>
      </c>
      <c r="H646" t="s">
        <v>24</v>
      </c>
      <c r="I646" t="s">
        <v>30</v>
      </c>
      <c r="J646" t="s">
        <v>1356</v>
      </c>
      <c r="K646" t="s">
        <v>32</v>
      </c>
      <c r="L646">
        <v>8</v>
      </c>
    </row>
    <row r="647" spans="1:12">
      <c r="A647">
        <v>646</v>
      </c>
      <c r="B647" t="s">
        <v>1357</v>
      </c>
      <c r="C647" t="s">
        <v>1349</v>
      </c>
      <c r="D647" t="s">
        <v>90</v>
      </c>
      <c r="E647" s="3">
        <v>44801</v>
      </c>
      <c r="F647" s="3" t="str">
        <f t="shared" si="20"/>
        <v>28-Aug</v>
      </c>
      <c r="G647" s="3" t="str">
        <f t="shared" si="21"/>
        <v>Sunday</v>
      </c>
      <c r="H647" t="s">
        <v>24</v>
      </c>
      <c r="I647" t="s">
        <v>19</v>
      </c>
      <c r="J647" t="s">
        <v>1358</v>
      </c>
      <c r="K647" t="s">
        <v>21</v>
      </c>
      <c r="L647">
        <v>7</v>
      </c>
    </row>
    <row r="648" spans="1:12">
      <c r="A648">
        <v>647</v>
      </c>
      <c r="B648" t="s">
        <v>1359</v>
      </c>
      <c r="C648" t="s">
        <v>1351</v>
      </c>
      <c r="D648" t="s">
        <v>93</v>
      </c>
      <c r="E648" s="3">
        <v>44808</v>
      </c>
      <c r="F648" s="3" t="str">
        <f t="shared" si="20"/>
        <v>04-Sep</v>
      </c>
      <c r="G648" s="3" t="str">
        <f t="shared" si="21"/>
        <v>Sunday</v>
      </c>
      <c r="H648" t="s">
        <v>18</v>
      </c>
      <c r="I648" t="s">
        <v>19</v>
      </c>
      <c r="J648" t="s">
        <v>1360</v>
      </c>
      <c r="K648" t="s">
        <v>26</v>
      </c>
      <c r="L648">
        <v>7</v>
      </c>
    </row>
    <row r="649" spans="1:12">
      <c r="A649">
        <v>648</v>
      </c>
      <c r="B649" t="s">
        <v>1361</v>
      </c>
      <c r="C649" t="s">
        <v>1353</v>
      </c>
      <c r="D649" t="s">
        <v>96</v>
      </c>
      <c r="E649" s="3">
        <v>44808</v>
      </c>
      <c r="F649" s="3" t="str">
        <f t="shared" si="20"/>
        <v>04-Sep</v>
      </c>
      <c r="G649" s="3" t="str">
        <f t="shared" si="21"/>
        <v>Sunday</v>
      </c>
      <c r="H649" t="s">
        <v>24</v>
      </c>
      <c r="I649" t="s">
        <v>19</v>
      </c>
      <c r="J649" t="s">
        <v>1362</v>
      </c>
      <c r="K649" t="s">
        <v>32</v>
      </c>
      <c r="L649">
        <v>9</v>
      </c>
    </row>
    <row r="650" spans="1:12">
      <c r="A650">
        <v>649</v>
      </c>
      <c r="B650" t="s">
        <v>1363</v>
      </c>
      <c r="C650" t="s">
        <v>1355</v>
      </c>
      <c r="D650" t="s">
        <v>99</v>
      </c>
      <c r="E650" s="3">
        <v>44781</v>
      </c>
      <c r="F650" s="3" t="str">
        <f t="shared" si="20"/>
        <v>08-Aug</v>
      </c>
      <c r="G650" s="3" t="str">
        <f t="shared" si="21"/>
        <v>Monday</v>
      </c>
      <c r="H650" t="s">
        <v>18</v>
      </c>
      <c r="I650" t="s">
        <v>19</v>
      </c>
      <c r="J650" t="s">
        <v>1364</v>
      </c>
      <c r="K650" t="s">
        <v>21</v>
      </c>
      <c r="L650">
        <v>8</v>
      </c>
    </row>
    <row r="651" spans="1:12">
      <c r="A651">
        <v>650</v>
      </c>
      <c r="B651" t="s">
        <v>1365</v>
      </c>
      <c r="C651" t="s">
        <v>1357</v>
      </c>
      <c r="D651" t="s">
        <v>103</v>
      </c>
      <c r="E651" s="3">
        <v>44783</v>
      </c>
      <c r="F651" s="3" t="str">
        <f t="shared" si="20"/>
        <v>10-Aug</v>
      </c>
      <c r="G651" s="3" t="str">
        <f t="shared" si="21"/>
        <v>Wednesday</v>
      </c>
      <c r="H651" t="s">
        <v>24</v>
      </c>
      <c r="I651" t="s">
        <v>19</v>
      </c>
      <c r="J651" t="s">
        <v>1366</v>
      </c>
      <c r="K651" t="s">
        <v>21</v>
      </c>
      <c r="L651">
        <v>8</v>
      </c>
    </row>
    <row r="652" spans="1:12">
      <c r="A652">
        <v>651</v>
      </c>
      <c r="B652" t="s">
        <v>1367</v>
      </c>
      <c r="C652" t="s">
        <v>1359</v>
      </c>
      <c r="D652" t="s">
        <v>106</v>
      </c>
      <c r="E652" s="3">
        <v>44762</v>
      </c>
      <c r="F652" s="3" t="str">
        <f t="shared" si="20"/>
        <v>20-Jul</v>
      </c>
      <c r="G652" s="3" t="str">
        <f t="shared" si="21"/>
        <v>Wednesday</v>
      </c>
      <c r="H652" t="s">
        <v>24</v>
      </c>
      <c r="I652" t="s">
        <v>30</v>
      </c>
      <c r="J652" t="s">
        <v>1368</v>
      </c>
      <c r="K652" t="s">
        <v>21</v>
      </c>
      <c r="L652">
        <v>10</v>
      </c>
    </row>
    <row r="653" spans="1:12">
      <c r="A653">
        <v>652</v>
      </c>
      <c r="B653" t="s">
        <v>1369</v>
      </c>
      <c r="C653" t="s">
        <v>1361</v>
      </c>
      <c r="D653" t="s">
        <v>109</v>
      </c>
      <c r="E653" s="3">
        <v>44800</v>
      </c>
      <c r="F653" s="3" t="str">
        <f t="shared" si="20"/>
        <v>27-Aug</v>
      </c>
      <c r="G653" s="3" t="str">
        <f t="shared" si="21"/>
        <v>Saturday</v>
      </c>
      <c r="H653" t="s">
        <v>18</v>
      </c>
      <c r="I653" t="s">
        <v>19</v>
      </c>
      <c r="J653" t="s">
        <v>1370</v>
      </c>
      <c r="K653" t="s">
        <v>26</v>
      </c>
      <c r="L653">
        <v>8</v>
      </c>
    </row>
    <row r="654" spans="1:12">
      <c r="A654">
        <v>653</v>
      </c>
      <c r="B654" t="s">
        <v>1371</v>
      </c>
      <c r="C654" t="s">
        <v>1363</v>
      </c>
      <c r="D654" t="s">
        <v>112</v>
      </c>
      <c r="E654" s="3">
        <v>44799</v>
      </c>
      <c r="F654" s="3" t="str">
        <f t="shared" si="20"/>
        <v>26-Aug</v>
      </c>
      <c r="G654" s="3" t="str">
        <f t="shared" si="21"/>
        <v>Friday</v>
      </c>
      <c r="H654" t="s">
        <v>24</v>
      </c>
      <c r="I654" t="s">
        <v>19</v>
      </c>
      <c r="J654" t="s">
        <v>1372</v>
      </c>
      <c r="K654" t="s">
        <v>32</v>
      </c>
      <c r="L654">
        <v>8</v>
      </c>
    </row>
    <row r="655" spans="1:12">
      <c r="A655">
        <v>654</v>
      </c>
      <c r="B655" t="s">
        <v>1373</v>
      </c>
      <c r="C655" t="s">
        <v>1365</v>
      </c>
      <c r="D655" t="s">
        <v>115</v>
      </c>
      <c r="E655" s="3">
        <v>44777</v>
      </c>
      <c r="F655" s="3" t="str">
        <f t="shared" si="20"/>
        <v>04-Aug</v>
      </c>
      <c r="G655" s="3" t="str">
        <f t="shared" si="21"/>
        <v>Thursday</v>
      </c>
      <c r="H655" t="s">
        <v>24</v>
      </c>
      <c r="I655" t="s">
        <v>19</v>
      </c>
      <c r="J655" t="s">
        <v>1374</v>
      </c>
      <c r="K655" t="s">
        <v>21</v>
      </c>
      <c r="L655">
        <v>8</v>
      </c>
    </row>
    <row r="656" spans="1:12">
      <c r="A656">
        <v>655</v>
      </c>
      <c r="B656" t="s">
        <v>1375</v>
      </c>
      <c r="C656" t="s">
        <v>1367</v>
      </c>
      <c r="D656" t="s">
        <v>63</v>
      </c>
      <c r="E656" s="3">
        <v>44800</v>
      </c>
      <c r="F656" s="3" t="str">
        <f t="shared" si="20"/>
        <v>27-Aug</v>
      </c>
      <c r="G656" s="3" t="str">
        <f t="shared" si="21"/>
        <v>Saturday</v>
      </c>
      <c r="H656" t="s">
        <v>18</v>
      </c>
      <c r="I656" t="s">
        <v>19</v>
      </c>
      <c r="J656" t="s">
        <v>1376</v>
      </c>
      <c r="K656" t="s">
        <v>26</v>
      </c>
      <c r="L656">
        <v>8</v>
      </c>
    </row>
    <row r="657" spans="1:12">
      <c r="A657">
        <v>656</v>
      </c>
      <c r="B657" t="s">
        <v>1377</v>
      </c>
      <c r="C657" t="s">
        <v>1369</v>
      </c>
      <c r="D657" t="s">
        <v>87</v>
      </c>
      <c r="E657" s="3">
        <v>44770</v>
      </c>
      <c r="F657" s="3" t="str">
        <f t="shared" si="20"/>
        <v>28-Jul</v>
      </c>
      <c r="G657" s="3" t="str">
        <f t="shared" si="21"/>
        <v>Thursday</v>
      </c>
      <c r="H657" t="s">
        <v>24</v>
      </c>
      <c r="I657" t="s">
        <v>19</v>
      </c>
      <c r="J657" t="s">
        <v>1378</v>
      </c>
      <c r="K657" t="s">
        <v>32</v>
      </c>
      <c r="L657">
        <v>7</v>
      </c>
    </row>
    <row r="658" spans="1:12">
      <c r="A658">
        <v>657</v>
      </c>
      <c r="B658" t="s">
        <v>1379</v>
      </c>
      <c r="C658" t="s">
        <v>1371</v>
      </c>
      <c r="D658" t="s">
        <v>103</v>
      </c>
      <c r="E658" s="3">
        <v>44774</v>
      </c>
      <c r="F658" s="3" t="str">
        <f t="shared" si="20"/>
        <v>01-Aug</v>
      </c>
      <c r="G658" s="3" t="str">
        <f t="shared" si="21"/>
        <v>Monday</v>
      </c>
      <c r="H658" t="s">
        <v>18</v>
      </c>
      <c r="I658" t="s">
        <v>19</v>
      </c>
      <c r="J658" t="s">
        <v>1380</v>
      </c>
      <c r="K658" t="s">
        <v>21</v>
      </c>
      <c r="L658">
        <v>7</v>
      </c>
    </row>
    <row r="659" spans="1:12">
      <c r="A659">
        <v>658</v>
      </c>
      <c r="B659" t="s">
        <v>1381</v>
      </c>
      <c r="C659" t="s">
        <v>1373</v>
      </c>
      <c r="D659" t="s">
        <v>37</v>
      </c>
      <c r="E659" s="3">
        <v>44779</v>
      </c>
      <c r="F659" s="3" t="str">
        <f t="shared" si="20"/>
        <v>06-Aug</v>
      </c>
      <c r="G659" s="3" t="str">
        <f t="shared" si="21"/>
        <v>Saturday</v>
      </c>
      <c r="H659" t="s">
        <v>24</v>
      </c>
      <c r="I659" t="s">
        <v>19</v>
      </c>
      <c r="J659" t="s">
        <v>1382</v>
      </c>
      <c r="K659" t="s">
        <v>26</v>
      </c>
      <c r="L659">
        <v>9</v>
      </c>
    </row>
    <row r="660" spans="1:12">
      <c r="A660">
        <v>659</v>
      </c>
      <c r="B660" t="s">
        <v>1383</v>
      </c>
      <c r="C660" t="s">
        <v>1375</v>
      </c>
      <c r="D660" t="s">
        <v>68</v>
      </c>
      <c r="E660" s="3">
        <v>44796</v>
      </c>
      <c r="F660" s="3" t="str">
        <f t="shared" si="20"/>
        <v>23-Aug</v>
      </c>
      <c r="G660" s="3" t="str">
        <f t="shared" si="21"/>
        <v>Tuesday</v>
      </c>
      <c r="H660" t="s">
        <v>18</v>
      </c>
      <c r="I660" t="s">
        <v>19</v>
      </c>
      <c r="J660" t="s">
        <v>1384</v>
      </c>
      <c r="K660" t="s">
        <v>32</v>
      </c>
      <c r="L660">
        <v>7</v>
      </c>
    </row>
    <row r="661" spans="1:12">
      <c r="A661">
        <v>660</v>
      </c>
      <c r="B661" t="s">
        <v>1385</v>
      </c>
      <c r="C661" t="s">
        <v>1377</v>
      </c>
      <c r="D661" t="s">
        <v>109</v>
      </c>
      <c r="E661" s="3">
        <v>44772</v>
      </c>
      <c r="F661" s="3" t="str">
        <f t="shared" si="20"/>
        <v>30-Jul</v>
      </c>
      <c r="G661" s="3" t="str">
        <f t="shared" si="21"/>
        <v>Saturday</v>
      </c>
      <c r="H661" t="s">
        <v>24</v>
      </c>
      <c r="I661" t="s">
        <v>19</v>
      </c>
      <c r="J661" t="s">
        <v>1386</v>
      </c>
      <c r="K661" t="s">
        <v>21</v>
      </c>
      <c r="L661">
        <v>9</v>
      </c>
    </row>
    <row r="662" spans="1:12">
      <c r="A662">
        <v>661</v>
      </c>
      <c r="B662" t="s">
        <v>1387</v>
      </c>
      <c r="C662" t="s">
        <v>1379</v>
      </c>
      <c r="D662" t="s">
        <v>112</v>
      </c>
      <c r="E662" s="3">
        <v>44809</v>
      </c>
      <c r="F662" s="3" t="str">
        <f t="shared" si="20"/>
        <v>05-Sep</v>
      </c>
      <c r="G662" s="3" t="str">
        <f t="shared" si="21"/>
        <v>Monday</v>
      </c>
      <c r="H662" t="s">
        <v>29</v>
      </c>
      <c r="I662" t="s">
        <v>19</v>
      </c>
      <c r="J662" t="s">
        <v>1388</v>
      </c>
      <c r="K662" t="s">
        <v>26</v>
      </c>
      <c r="L662">
        <v>10</v>
      </c>
    </row>
    <row r="663" spans="1:12">
      <c r="A663">
        <v>662</v>
      </c>
      <c r="B663" t="s">
        <v>1389</v>
      </c>
      <c r="C663" t="s">
        <v>1381</v>
      </c>
      <c r="D663" t="s">
        <v>134</v>
      </c>
      <c r="E663" s="3">
        <v>44757</v>
      </c>
      <c r="F663" s="3" t="str">
        <f t="shared" si="20"/>
        <v>15-Jul</v>
      </c>
      <c r="G663" s="3" t="str">
        <f t="shared" si="21"/>
        <v>Friday</v>
      </c>
      <c r="H663" t="s">
        <v>18</v>
      </c>
      <c r="I663" t="s">
        <v>19</v>
      </c>
      <c r="J663" t="s">
        <v>1390</v>
      </c>
      <c r="K663" t="s">
        <v>32</v>
      </c>
      <c r="L663">
        <v>7</v>
      </c>
    </row>
    <row r="664" spans="1:12">
      <c r="A664">
        <v>663</v>
      </c>
      <c r="B664" t="s">
        <v>1391</v>
      </c>
      <c r="C664" t="s">
        <v>1383</v>
      </c>
      <c r="D664" t="s">
        <v>277</v>
      </c>
      <c r="E664" s="3">
        <v>44782</v>
      </c>
      <c r="F664" s="3" t="str">
        <f t="shared" si="20"/>
        <v>09-Aug</v>
      </c>
      <c r="G664" s="3" t="str">
        <f t="shared" si="21"/>
        <v>Tuesday</v>
      </c>
      <c r="H664" t="s">
        <v>24</v>
      </c>
      <c r="I664" t="s">
        <v>19</v>
      </c>
      <c r="J664" t="s">
        <v>1392</v>
      </c>
      <c r="K664" t="s">
        <v>21</v>
      </c>
      <c r="L664">
        <v>10</v>
      </c>
    </row>
    <row r="665" spans="1:12">
      <c r="A665">
        <v>664</v>
      </c>
      <c r="B665" t="s">
        <v>1393</v>
      </c>
      <c r="C665" t="s">
        <v>1385</v>
      </c>
      <c r="D665" t="s">
        <v>139</v>
      </c>
      <c r="E665" s="3">
        <v>44809</v>
      </c>
      <c r="F665" s="3" t="str">
        <f t="shared" si="20"/>
        <v>05-Sep</v>
      </c>
      <c r="G665" s="3" t="str">
        <f t="shared" si="21"/>
        <v>Monday</v>
      </c>
      <c r="H665" t="s">
        <v>24</v>
      </c>
      <c r="I665" t="s">
        <v>19</v>
      </c>
      <c r="J665" t="s">
        <v>1394</v>
      </c>
      <c r="K665" t="s">
        <v>26</v>
      </c>
      <c r="L665">
        <v>9</v>
      </c>
    </row>
    <row r="666" spans="1:12">
      <c r="A666">
        <v>665</v>
      </c>
      <c r="B666" t="s">
        <v>1395</v>
      </c>
      <c r="C666" t="s">
        <v>1387</v>
      </c>
      <c r="D666" t="s">
        <v>142</v>
      </c>
      <c r="E666" s="3">
        <v>44795</v>
      </c>
      <c r="F666" s="3" t="str">
        <f t="shared" si="20"/>
        <v>22-Aug</v>
      </c>
      <c r="G666" s="3" t="str">
        <f t="shared" si="21"/>
        <v>Monday</v>
      </c>
      <c r="H666" t="s">
        <v>18</v>
      </c>
      <c r="I666" t="s">
        <v>19</v>
      </c>
      <c r="J666" t="s">
        <v>1396</v>
      </c>
      <c r="K666" t="s">
        <v>32</v>
      </c>
      <c r="L666">
        <v>8</v>
      </c>
    </row>
    <row r="667" spans="1:12">
      <c r="A667">
        <v>666</v>
      </c>
      <c r="B667" t="s">
        <v>1397</v>
      </c>
      <c r="C667" t="s">
        <v>1389</v>
      </c>
      <c r="D667" t="s">
        <v>145</v>
      </c>
      <c r="E667" s="3">
        <v>44801</v>
      </c>
      <c r="F667" s="3" t="str">
        <f t="shared" si="20"/>
        <v>28-Aug</v>
      </c>
      <c r="G667" s="3" t="str">
        <f t="shared" si="21"/>
        <v>Sunday</v>
      </c>
      <c r="H667" t="s">
        <v>24</v>
      </c>
      <c r="I667" t="s">
        <v>19</v>
      </c>
      <c r="J667" t="s">
        <v>1398</v>
      </c>
      <c r="K667" t="s">
        <v>21</v>
      </c>
      <c r="L667">
        <v>7</v>
      </c>
    </row>
    <row r="668" spans="1:12">
      <c r="A668">
        <v>667</v>
      </c>
      <c r="B668" t="s">
        <v>1399</v>
      </c>
      <c r="C668" t="s">
        <v>1391</v>
      </c>
      <c r="D668" t="s">
        <v>54</v>
      </c>
      <c r="E668" s="3">
        <v>44770</v>
      </c>
      <c r="F668" s="3" t="str">
        <f t="shared" si="20"/>
        <v>28-Jul</v>
      </c>
      <c r="G668" s="3" t="str">
        <f t="shared" si="21"/>
        <v>Thursday</v>
      </c>
      <c r="H668" t="s">
        <v>18</v>
      </c>
      <c r="I668" t="s">
        <v>19</v>
      </c>
      <c r="J668" t="s">
        <v>1400</v>
      </c>
      <c r="K668" t="s">
        <v>26</v>
      </c>
      <c r="L668">
        <v>7</v>
      </c>
    </row>
    <row r="669" spans="1:12">
      <c r="A669">
        <v>668</v>
      </c>
      <c r="B669" t="s">
        <v>1401</v>
      </c>
      <c r="C669" t="s">
        <v>1393</v>
      </c>
      <c r="D669" t="s">
        <v>151</v>
      </c>
      <c r="E669" s="3">
        <v>44764</v>
      </c>
      <c r="F669" s="3" t="str">
        <f t="shared" si="20"/>
        <v>22-Jul</v>
      </c>
      <c r="G669" s="3" t="str">
        <f t="shared" si="21"/>
        <v>Friday</v>
      </c>
      <c r="H669" t="s">
        <v>24</v>
      </c>
      <c r="I669" t="s">
        <v>19</v>
      </c>
      <c r="J669" t="s">
        <v>1402</v>
      </c>
      <c r="K669" t="s">
        <v>32</v>
      </c>
      <c r="L669">
        <v>7</v>
      </c>
    </row>
    <row r="670" spans="1:12">
      <c r="A670">
        <v>669</v>
      </c>
      <c r="B670" t="s">
        <v>1403</v>
      </c>
      <c r="C670" t="s">
        <v>1395</v>
      </c>
      <c r="D670" t="s">
        <v>154</v>
      </c>
      <c r="E670" s="3">
        <v>44776</v>
      </c>
      <c r="F670" s="3" t="str">
        <f t="shared" si="20"/>
        <v>03-Aug</v>
      </c>
      <c r="G670" s="3" t="str">
        <f t="shared" si="21"/>
        <v>Wednesday</v>
      </c>
      <c r="H670" t="s">
        <v>24</v>
      </c>
      <c r="I670" t="s">
        <v>19</v>
      </c>
      <c r="J670" t="s">
        <v>1404</v>
      </c>
      <c r="K670" t="s">
        <v>21</v>
      </c>
      <c r="L670">
        <v>10</v>
      </c>
    </row>
    <row r="671" spans="1:12">
      <c r="A671">
        <v>670</v>
      </c>
      <c r="B671" t="s">
        <v>1405</v>
      </c>
      <c r="C671" t="s">
        <v>1397</v>
      </c>
      <c r="D671" t="s">
        <v>157</v>
      </c>
      <c r="E671" s="3">
        <v>44771</v>
      </c>
      <c r="F671" s="3" t="str">
        <f t="shared" si="20"/>
        <v>29-Jul</v>
      </c>
      <c r="G671" s="3" t="str">
        <f t="shared" si="21"/>
        <v>Friday</v>
      </c>
      <c r="H671" t="s">
        <v>18</v>
      </c>
      <c r="I671" t="s">
        <v>19</v>
      </c>
      <c r="J671" t="s">
        <v>1406</v>
      </c>
      <c r="K671" t="s">
        <v>26</v>
      </c>
      <c r="L671">
        <v>7</v>
      </c>
    </row>
    <row r="672" spans="1:12">
      <c r="A672">
        <v>671</v>
      </c>
      <c r="B672" t="s">
        <v>1407</v>
      </c>
      <c r="C672" t="s">
        <v>1399</v>
      </c>
      <c r="D672" t="s">
        <v>160</v>
      </c>
      <c r="E672" s="3">
        <v>44794</v>
      </c>
      <c r="F672" s="3" t="str">
        <f t="shared" si="20"/>
        <v>21-Aug</v>
      </c>
      <c r="G672" s="3" t="str">
        <f t="shared" si="21"/>
        <v>Sunday</v>
      </c>
      <c r="H672" t="s">
        <v>24</v>
      </c>
      <c r="I672" t="s">
        <v>19</v>
      </c>
      <c r="J672" t="s">
        <v>1408</v>
      </c>
      <c r="K672" t="s">
        <v>32</v>
      </c>
      <c r="L672">
        <v>10</v>
      </c>
    </row>
    <row r="673" spans="1:12">
      <c r="A673">
        <v>672</v>
      </c>
      <c r="B673" t="s">
        <v>1409</v>
      </c>
      <c r="C673" t="s">
        <v>1401</v>
      </c>
      <c r="D673" t="s">
        <v>163</v>
      </c>
      <c r="E673" s="3">
        <v>44792</v>
      </c>
      <c r="F673" s="3" t="str">
        <f t="shared" si="20"/>
        <v>19-Aug</v>
      </c>
      <c r="G673" s="3" t="str">
        <f t="shared" si="21"/>
        <v>Friday</v>
      </c>
      <c r="H673" t="s">
        <v>24</v>
      </c>
      <c r="I673" t="s">
        <v>19</v>
      </c>
      <c r="J673" t="s">
        <v>1410</v>
      </c>
      <c r="K673" t="s">
        <v>21</v>
      </c>
      <c r="L673">
        <v>9</v>
      </c>
    </row>
    <row r="674" spans="1:12">
      <c r="A674">
        <v>673</v>
      </c>
      <c r="B674" t="s">
        <v>1411</v>
      </c>
      <c r="C674" t="s">
        <v>1403</v>
      </c>
      <c r="D674" t="s">
        <v>17</v>
      </c>
      <c r="E674" s="3">
        <v>44792</v>
      </c>
      <c r="F674" s="3" t="str">
        <f t="shared" si="20"/>
        <v>19-Aug</v>
      </c>
      <c r="G674" s="3" t="str">
        <f t="shared" si="21"/>
        <v>Friday</v>
      </c>
      <c r="H674" t="s">
        <v>18</v>
      </c>
      <c r="I674" t="s">
        <v>30</v>
      </c>
      <c r="J674" t="s">
        <v>1412</v>
      </c>
      <c r="K674" t="s">
        <v>26</v>
      </c>
      <c r="L674">
        <v>10</v>
      </c>
    </row>
    <row r="675" spans="1:12">
      <c r="A675">
        <v>674</v>
      </c>
      <c r="B675" t="s">
        <v>1413</v>
      </c>
      <c r="C675" t="s">
        <v>1405</v>
      </c>
      <c r="D675" t="s">
        <v>23</v>
      </c>
      <c r="E675" s="3">
        <v>44790</v>
      </c>
      <c r="F675" s="3" t="str">
        <f t="shared" si="20"/>
        <v>17-Aug</v>
      </c>
      <c r="G675" s="3" t="str">
        <f t="shared" si="21"/>
        <v>Wednesday</v>
      </c>
      <c r="H675" t="s">
        <v>24</v>
      </c>
      <c r="I675" t="s">
        <v>19</v>
      </c>
      <c r="J675" t="s">
        <v>1414</v>
      </c>
      <c r="K675" t="s">
        <v>32</v>
      </c>
      <c r="L675">
        <v>8</v>
      </c>
    </row>
    <row r="676" spans="1:12">
      <c r="A676">
        <v>675</v>
      </c>
      <c r="B676" t="s">
        <v>1415</v>
      </c>
      <c r="C676" t="s">
        <v>1407</v>
      </c>
      <c r="D676" t="s">
        <v>28</v>
      </c>
      <c r="E676" s="3">
        <v>44809</v>
      </c>
      <c r="F676" s="3" t="str">
        <f t="shared" si="20"/>
        <v>05-Sep</v>
      </c>
      <c r="G676" s="3" t="str">
        <f t="shared" si="21"/>
        <v>Monday</v>
      </c>
      <c r="H676" t="s">
        <v>18</v>
      </c>
      <c r="I676" t="s">
        <v>19</v>
      </c>
      <c r="J676" t="s">
        <v>1416</v>
      </c>
      <c r="K676" t="s">
        <v>21</v>
      </c>
      <c r="L676">
        <v>9</v>
      </c>
    </row>
    <row r="677" spans="1:12">
      <c r="A677">
        <v>676</v>
      </c>
      <c r="B677" t="s">
        <v>1417</v>
      </c>
      <c r="C677" t="s">
        <v>1409</v>
      </c>
      <c r="D677" t="s">
        <v>34</v>
      </c>
      <c r="E677" s="3">
        <v>44772</v>
      </c>
      <c r="F677" s="3" t="str">
        <f t="shared" si="20"/>
        <v>30-Jul</v>
      </c>
      <c r="G677" s="3" t="str">
        <f t="shared" si="21"/>
        <v>Saturday</v>
      </c>
      <c r="H677" t="s">
        <v>24</v>
      </c>
      <c r="I677" t="s">
        <v>19</v>
      </c>
      <c r="J677" t="s">
        <v>1418</v>
      </c>
      <c r="K677" t="s">
        <v>26</v>
      </c>
      <c r="L677">
        <v>9</v>
      </c>
    </row>
    <row r="678" spans="1:12">
      <c r="A678">
        <v>677</v>
      </c>
      <c r="B678" t="s">
        <v>1419</v>
      </c>
      <c r="C678" t="s">
        <v>1411</v>
      </c>
      <c r="D678" t="s">
        <v>37</v>
      </c>
      <c r="E678" s="3">
        <v>44802</v>
      </c>
      <c r="F678" s="3" t="str">
        <f t="shared" si="20"/>
        <v>29-Aug</v>
      </c>
      <c r="G678" s="3" t="str">
        <f t="shared" si="21"/>
        <v>Monday</v>
      </c>
      <c r="H678" t="s">
        <v>18</v>
      </c>
      <c r="I678" t="s">
        <v>19</v>
      </c>
      <c r="J678" t="s">
        <v>1420</v>
      </c>
      <c r="K678" t="s">
        <v>32</v>
      </c>
      <c r="L678">
        <v>8</v>
      </c>
    </row>
    <row r="679" spans="1:12">
      <c r="A679">
        <v>678</v>
      </c>
      <c r="B679" t="s">
        <v>1421</v>
      </c>
      <c r="C679" t="s">
        <v>1413</v>
      </c>
      <c r="D679" t="s">
        <v>40</v>
      </c>
      <c r="E679" s="3">
        <v>44809</v>
      </c>
      <c r="F679" s="3" t="str">
        <f t="shared" si="20"/>
        <v>05-Sep</v>
      </c>
      <c r="G679" s="3" t="str">
        <f t="shared" si="21"/>
        <v>Monday</v>
      </c>
      <c r="H679" t="s">
        <v>24</v>
      </c>
      <c r="I679" t="s">
        <v>19</v>
      </c>
      <c r="J679" t="s">
        <v>1422</v>
      </c>
      <c r="K679" t="s">
        <v>21</v>
      </c>
      <c r="L679">
        <v>7</v>
      </c>
    </row>
    <row r="680" spans="1:12">
      <c r="A680">
        <v>679</v>
      </c>
      <c r="B680" t="s">
        <v>1423</v>
      </c>
      <c r="C680" t="s">
        <v>1415</v>
      </c>
      <c r="D680" t="s">
        <v>43</v>
      </c>
      <c r="E680" s="3">
        <v>44793</v>
      </c>
      <c r="F680" s="3" t="str">
        <f t="shared" si="20"/>
        <v>20-Aug</v>
      </c>
      <c r="G680" s="3" t="str">
        <f t="shared" si="21"/>
        <v>Saturday</v>
      </c>
      <c r="H680" t="s">
        <v>29</v>
      </c>
      <c r="I680" t="s">
        <v>30</v>
      </c>
      <c r="J680" t="s">
        <v>1424</v>
      </c>
      <c r="K680" t="s">
        <v>26</v>
      </c>
      <c r="L680">
        <v>10</v>
      </c>
    </row>
    <row r="681" spans="1:12">
      <c r="A681">
        <v>680</v>
      </c>
      <c r="B681" t="s">
        <v>1425</v>
      </c>
      <c r="C681" t="s">
        <v>1417</v>
      </c>
      <c r="D681" t="s">
        <v>43</v>
      </c>
      <c r="E681" s="3">
        <v>44802</v>
      </c>
      <c r="F681" s="3" t="str">
        <f t="shared" si="20"/>
        <v>29-Aug</v>
      </c>
      <c r="G681" s="3" t="str">
        <f t="shared" si="21"/>
        <v>Monday</v>
      </c>
      <c r="H681" t="s">
        <v>18</v>
      </c>
      <c r="I681" t="s">
        <v>19</v>
      </c>
      <c r="J681" t="s">
        <v>1426</v>
      </c>
      <c r="K681" t="s">
        <v>32</v>
      </c>
      <c r="L681">
        <v>8</v>
      </c>
    </row>
    <row r="682" spans="1:12">
      <c r="A682">
        <v>681</v>
      </c>
      <c r="B682" t="s">
        <v>1427</v>
      </c>
      <c r="C682" t="s">
        <v>1419</v>
      </c>
      <c r="D682" t="s">
        <v>49</v>
      </c>
      <c r="E682" s="3">
        <v>44766</v>
      </c>
      <c r="F682" s="3" t="str">
        <f t="shared" si="20"/>
        <v>24-Jul</v>
      </c>
      <c r="G682" s="3" t="str">
        <f t="shared" si="21"/>
        <v>Sunday</v>
      </c>
      <c r="H682" t="s">
        <v>24</v>
      </c>
      <c r="I682" t="s">
        <v>19</v>
      </c>
      <c r="J682" t="s">
        <v>1428</v>
      </c>
      <c r="K682" t="s">
        <v>21</v>
      </c>
      <c r="L682">
        <v>10</v>
      </c>
    </row>
    <row r="683" spans="1:12">
      <c r="A683">
        <v>682</v>
      </c>
      <c r="B683" t="s">
        <v>1429</v>
      </c>
      <c r="C683" t="s">
        <v>1421</v>
      </c>
      <c r="D683" t="s">
        <v>184</v>
      </c>
      <c r="E683" s="3">
        <v>44807</v>
      </c>
      <c r="F683" s="3" t="str">
        <f t="shared" si="20"/>
        <v>03-Sep</v>
      </c>
      <c r="G683" s="3" t="str">
        <f t="shared" si="21"/>
        <v>Saturday</v>
      </c>
      <c r="H683" t="s">
        <v>24</v>
      </c>
      <c r="I683" t="s">
        <v>19</v>
      </c>
      <c r="J683" t="s">
        <v>1430</v>
      </c>
      <c r="K683" t="s">
        <v>26</v>
      </c>
      <c r="L683">
        <v>7</v>
      </c>
    </row>
    <row r="684" spans="1:12">
      <c r="A684">
        <v>683</v>
      </c>
      <c r="B684" t="s">
        <v>1431</v>
      </c>
      <c r="C684" t="s">
        <v>1423</v>
      </c>
      <c r="D684" t="s">
        <v>54</v>
      </c>
      <c r="E684" s="3">
        <v>44784</v>
      </c>
      <c r="F684" s="3" t="str">
        <f t="shared" si="20"/>
        <v>11-Aug</v>
      </c>
      <c r="G684" s="3" t="str">
        <f t="shared" si="21"/>
        <v>Thursday</v>
      </c>
      <c r="H684" t="s">
        <v>18</v>
      </c>
      <c r="I684" t="s">
        <v>19</v>
      </c>
      <c r="J684" t="s">
        <v>1432</v>
      </c>
      <c r="K684" t="s">
        <v>32</v>
      </c>
      <c r="L684">
        <v>7</v>
      </c>
    </row>
    <row r="685" spans="1:12">
      <c r="A685">
        <v>684</v>
      </c>
      <c r="B685" t="s">
        <v>1433</v>
      </c>
      <c r="C685" t="s">
        <v>1425</v>
      </c>
      <c r="D685" t="s">
        <v>57</v>
      </c>
      <c r="E685" s="3">
        <v>44763</v>
      </c>
      <c r="F685" s="3" t="str">
        <f t="shared" si="20"/>
        <v>21-Jul</v>
      </c>
      <c r="G685" s="3" t="str">
        <f t="shared" si="21"/>
        <v>Thursday</v>
      </c>
      <c r="H685" t="s">
        <v>24</v>
      </c>
      <c r="I685" t="s">
        <v>19</v>
      </c>
      <c r="J685" t="s">
        <v>1434</v>
      </c>
      <c r="K685" t="s">
        <v>21</v>
      </c>
      <c r="L685">
        <v>10</v>
      </c>
    </row>
    <row r="686" spans="1:12">
      <c r="A686">
        <v>685</v>
      </c>
      <c r="B686" t="s">
        <v>1435</v>
      </c>
      <c r="C686" t="s">
        <v>1427</v>
      </c>
      <c r="D686" t="s">
        <v>60</v>
      </c>
      <c r="E686" s="3">
        <v>44799</v>
      </c>
      <c r="F686" s="3" t="str">
        <f t="shared" si="20"/>
        <v>26-Aug</v>
      </c>
      <c r="G686" s="3" t="str">
        <f t="shared" si="21"/>
        <v>Friday</v>
      </c>
      <c r="H686" t="s">
        <v>18</v>
      </c>
      <c r="I686" t="s">
        <v>19</v>
      </c>
      <c r="J686" t="s">
        <v>1436</v>
      </c>
      <c r="K686" t="s">
        <v>26</v>
      </c>
      <c r="L686">
        <v>9</v>
      </c>
    </row>
    <row r="687" spans="1:12">
      <c r="A687">
        <v>686</v>
      </c>
      <c r="B687" t="s">
        <v>1437</v>
      </c>
      <c r="C687" t="s">
        <v>1429</v>
      </c>
      <c r="D687" t="s">
        <v>63</v>
      </c>
      <c r="E687" s="3">
        <v>44808</v>
      </c>
      <c r="F687" s="3" t="str">
        <f t="shared" si="20"/>
        <v>04-Sep</v>
      </c>
      <c r="G687" s="3" t="str">
        <f t="shared" si="21"/>
        <v>Sunday</v>
      </c>
      <c r="H687" t="s">
        <v>24</v>
      </c>
      <c r="I687" t="s">
        <v>19</v>
      </c>
      <c r="J687" t="s">
        <v>1438</v>
      </c>
      <c r="K687" t="s">
        <v>32</v>
      </c>
      <c r="L687">
        <v>9</v>
      </c>
    </row>
    <row r="688" spans="1:12">
      <c r="A688">
        <v>687</v>
      </c>
      <c r="B688" t="s">
        <v>1439</v>
      </c>
      <c r="C688" t="s">
        <v>1431</v>
      </c>
      <c r="D688" t="s">
        <v>163</v>
      </c>
      <c r="E688" s="3">
        <v>44786</v>
      </c>
      <c r="F688" s="3" t="str">
        <f t="shared" si="20"/>
        <v>13-Aug</v>
      </c>
      <c r="G688" s="3" t="str">
        <f t="shared" si="21"/>
        <v>Saturday</v>
      </c>
      <c r="H688" t="s">
        <v>24</v>
      </c>
      <c r="I688" t="s">
        <v>19</v>
      </c>
      <c r="J688" t="s">
        <v>1440</v>
      </c>
      <c r="K688" t="s">
        <v>21</v>
      </c>
      <c r="L688">
        <v>7</v>
      </c>
    </row>
    <row r="689" spans="1:12">
      <c r="A689">
        <v>688</v>
      </c>
      <c r="B689" t="s">
        <v>1441</v>
      </c>
      <c r="C689" t="s">
        <v>1433</v>
      </c>
      <c r="D689" t="s">
        <v>17</v>
      </c>
      <c r="E689" s="3">
        <v>44770</v>
      </c>
      <c r="F689" s="3" t="str">
        <f t="shared" si="20"/>
        <v>28-Jul</v>
      </c>
      <c r="G689" s="3" t="str">
        <f t="shared" si="21"/>
        <v>Thursday</v>
      </c>
      <c r="H689" t="s">
        <v>18</v>
      </c>
      <c r="I689" t="s">
        <v>19</v>
      </c>
      <c r="J689" t="s">
        <v>1442</v>
      </c>
      <c r="K689" t="s">
        <v>26</v>
      </c>
      <c r="L689">
        <v>10</v>
      </c>
    </row>
    <row r="690" spans="1:12">
      <c r="A690">
        <v>689</v>
      </c>
      <c r="B690" t="s">
        <v>1443</v>
      </c>
      <c r="C690" t="s">
        <v>1435</v>
      </c>
      <c r="D690" t="s">
        <v>23</v>
      </c>
      <c r="E690" s="3">
        <v>44777</v>
      </c>
      <c r="F690" s="3" t="str">
        <f t="shared" si="20"/>
        <v>04-Aug</v>
      </c>
      <c r="G690" s="3" t="str">
        <f t="shared" si="21"/>
        <v>Thursday</v>
      </c>
      <c r="H690" t="s">
        <v>24</v>
      </c>
      <c r="I690" t="s">
        <v>19</v>
      </c>
      <c r="J690" t="s">
        <v>1444</v>
      </c>
      <c r="K690" t="s">
        <v>32</v>
      </c>
      <c r="L690">
        <v>7</v>
      </c>
    </row>
    <row r="691" spans="1:12">
      <c r="A691">
        <v>690</v>
      </c>
      <c r="B691" t="s">
        <v>1445</v>
      </c>
      <c r="C691" t="s">
        <v>1437</v>
      </c>
      <c r="D691" t="s">
        <v>28</v>
      </c>
      <c r="E691" s="3">
        <v>44780</v>
      </c>
      <c r="F691" s="3" t="str">
        <f t="shared" si="20"/>
        <v>07-Aug</v>
      </c>
      <c r="G691" s="3" t="str">
        <f t="shared" si="21"/>
        <v>Sunday</v>
      </c>
      <c r="H691" t="s">
        <v>24</v>
      </c>
      <c r="I691" t="s">
        <v>19</v>
      </c>
      <c r="J691" t="s">
        <v>1446</v>
      </c>
      <c r="K691" t="s">
        <v>21</v>
      </c>
      <c r="L691">
        <v>7</v>
      </c>
    </row>
    <row r="692" spans="1:12">
      <c r="A692">
        <v>691</v>
      </c>
      <c r="B692" t="s">
        <v>1447</v>
      </c>
      <c r="C692" t="s">
        <v>1439</v>
      </c>
      <c r="D692" t="s">
        <v>34</v>
      </c>
      <c r="E692" s="3">
        <v>44778</v>
      </c>
      <c r="F692" s="3" t="str">
        <f t="shared" si="20"/>
        <v>05-Aug</v>
      </c>
      <c r="G692" s="3" t="str">
        <f t="shared" si="21"/>
        <v>Friday</v>
      </c>
      <c r="H692" t="s">
        <v>18</v>
      </c>
      <c r="I692" t="s">
        <v>19</v>
      </c>
      <c r="J692" t="s">
        <v>1448</v>
      </c>
      <c r="K692" t="s">
        <v>26</v>
      </c>
      <c r="L692">
        <v>8</v>
      </c>
    </row>
    <row r="693" spans="1:12">
      <c r="A693">
        <v>692</v>
      </c>
      <c r="B693" t="s">
        <v>1449</v>
      </c>
      <c r="C693" t="s">
        <v>1441</v>
      </c>
      <c r="D693" t="s">
        <v>37</v>
      </c>
      <c r="E693" s="3">
        <v>44774</v>
      </c>
      <c r="F693" s="3" t="str">
        <f t="shared" si="20"/>
        <v>01-Aug</v>
      </c>
      <c r="G693" s="3" t="str">
        <f t="shared" si="21"/>
        <v>Monday</v>
      </c>
      <c r="H693" t="s">
        <v>24</v>
      </c>
      <c r="I693" t="s">
        <v>19</v>
      </c>
      <c r="J693" t="s">
        <v>1450</v>
      </c>
      <c r="K693" t="s">
        <v>32</v>
      </c>
      <c r="L693">
        <v>7</v>
      </c>
    </row>
    <row r="694" spans="1:12">
      <c r="A694">
        <v>693</v>
      </c>
      <c r="B694" t="s">
        <v>1451</v>
      </c>
      <c r="C694" t="s">
        <v>1443</v>
      </c>
      <c r="D694" t="s">
        <v>40</v>
      </c>
      <c r="E694" s="3">
        <v>44760</v>
      </c>
      <c r="F694" s="3" t="str">
        <f t="shared" si="20"/>
        <v>18-Jul</v>
      </c>
      <c r="G694" s="3" t="str">
        <f t="shared" si="21"/>
        <v>Monday</v>
      </c>
      <c r="H694" t="s">
        <v>18</v>
      </c>
      <c r="I694" t="s">
        <v>19</v>
      </c>
      <c r="J694" t="s">
        <v>1452</v>
      </c>
      <c r="K694" t="s">
        <v>21</v>
      </c>
      <c r="L694">
        <v>10</v>
      </c>
    </row>
    <row r="695" spans="1:12">
      <c r="A695">
        <v>694</v>
      </c>
      <c r="B695" t="s">
        <v>1453</v>
      </c>
      <c r="C695" t="s">
        <v>1445</v>
      </c>
      <c r="D695" t="s">
        <v>43</v>
      </c>
      <c r="E695" s="3">
        <v>44756</v>
      </c>
      <c r="F695" s="3" t="str">
        <f t="shared" si="20"/>
        <v>14-Jul</v>
      </c>
      <c r="G695" s="3" t="str">
        <f t="shared" si="21"/>
        <v>Thursday</v>
      </c>
      <c r="H695" t="s">
        <v>24</v>
      </c>
      <c r="I695" t="s">
        <v>19</v>
      </c>
      <c r="J695" t="s">
        <v>1454</v>
      </c>
      <c r="K695" t="s">
        <v>26</v>
      </c>
      <c r="L695">
        <v>7</v>
      </c>
    </row>
    <row r="696" spans="1:12">
      <c r="A696">
        <v>695</v>
      </c>
      <c r="B696" t="s">
        <v>1455</v>
      </c>
      <c r="C696" t="s">
        <v>1447</v>
      </c>
      <c r="D696" t="s">
        <v>43</v>
      </c>
      <c r="E696" s="3">
        <v>44755</v>
      </c>
      <c r="F696" s="3" t="str">
        <f t="shared" si="20"/>
        <v>13-Jul</v>
      </c>
      <c r="G696" s="3" t="str">
        <f t="shared" si="21"/>
        <v>Wednesday</v>
      </c>
      <c r="H696" t="s">
        <v>18</v>
      </c>
      <c r="I696" t="s">
        <v>19</v>
      </c>
      <c r="J696" t="s">
        <v>1456</v>
      </c>
      <c r="K696" t="s">
        <v>32</v>
      </c>
      <c r="L696">
        <v>10</v>
      </c>
    </row>
    <row r="697" spans="1:12">
      <c r="A697">
        <v>696</v>
      </c>
      <c r="B697" t="s">
        <v>1457</v>
      </c>
      <c r="C697" t="s">
        <v>1449</v>
      </c>
      <c r="D697" t="s">
        <v>49</v>
      </c>
      <c r="E697" s="3">
        <v>44770</v>
      </c>
      <c r="F697" s="3" t="str">
        <f t="shared" si="20"/>
        <v>28-Jul</v>
      </c>
      <c r="G697" s="3" t="str">
        <f t="shared" si="21"/>
        <v>Thursday</v>
      </c>
      <c r="H697" t="s">
        <v>24</v>
      </c>
      <c r="I697" t="s">
        <v>19</v>
      </c>
      <c r="J697" t="s">
        <v>1458</v>
      </c>
      <c r="K697" t="s">
        <v>21</v>
      </c>
      <c r="L697">
        <v>7</v>
      </c>
    </row>
    <row r="698" spans="1:12">
      <c r="A698">
        <v>697</v>
      </c>
      <c r="B698" t="s">
        <v>1459</v>
      </c>
      <c r="C698" t="s">
        <v>1451</v>
      </c>
      <c r="D698" t="s">
        <v>40</v>
      </c>
      <c r="E698" s="3">
        <v>44755</v>
      </c>
      <c r="F698" s="3" t="str">
        <f t="shared" si="20"/>
        <v>13-Jul</v>
      </c>
      <c r="G698" s="3" t="str">
        <f t="shared" si="21"/>
        <v>Wednesday</v>
      </c>
      <c r="H698" t="s">
        <v>29</v>
      </c>
      <c r="I698" t="s">
        <v>19</v>
      </c>
      <c r="J698" t="s">
        <v>1460</v>
      </c>
      <c r="K698" t="s">
        <v>26</v>
      </c>
      <c r="L698">
        <v>9</v>
      </c>
    </row>
    <row r="699" spans="1:12">
      <c r="A699">
        <v>698</v>
      </c>
      <c r="B699" t="s">
        <v>1461</v>
      </c>
      <c r="C699" t="s">
        <v>1453</v>
      </c>
      <c r="D699" t="s">
        <v>54</v>
      </c>
      <c r="E699" s="3">
        <v>44775</v>
      </c>
      <c r="F699" s="3" t="str">
        <f t="shared" si="20"/>
        <v>02-Aug</v>
      </c>
      <c r="G699" s="3" t="str">
        <f t="shared" si="21"/>
        <v>Tuesday</v>
      </c>
      <c r="H699" t="s">
        <v>18</v>
      </c>
      <c r="I699" t="s">
        <v>19</v>
      </c>
      <c r="J699" t="s">
        <v>1462</v>
      </c>
      <c r="K699" t="s">
        <v>32</v>
      </c>
      <c r="L699">
        <v>7</v>
      </c>
    </row>
    <row r="700" spans="1:12">
      <c r="A700">
        <v>699</v>
      </c>
      <c r="B700" t="s">
        <v>1463</v>
      </c>
      <c r="C700" t="s">
        <v>1455</v>
      </c>
      <c r="D700" t="s">
        <v>57</v>
      </c>
      <c r="E700" s="3">
        <v>44797</v>
      </c>
      <c r="F700" s="3" t="str">
        <f t="shared" si="20"/>
        <v>24-Aug</v>
      </c>
      <c r="G700" s="3" t="str">
        <f t="shared" si="21"/>
        <v>Wednesday</v>
      </c>
      <c r="H700" t="s">
        <v>24</v>
      </c>
      <c r="I700" t="s">
        <v>19</v>
      </c>
      <c r="J700" t="s">
        <v>1464</v>
      </c>
      <c r="K700" t="s">
        <v>21</v>
      </c>
      <c r="L700">
        <v>8</v>
      </c>
    </row>
    <row r="701" spans="1:12">
      <c r="A701">
        <v>700</v>
      </c>
      <c r="B701" t="s">
        <v>1465</v>
      </c>
      <c r="C701" t="s">
        <v>1457</v>
      </c>
      <c r="D701" t="s">
        <v>60</v>
      </c>
      <c r="E701" s="3">
        <v>44802</v>
      </c>
      <c r="F701" s="3" t="str">
        <f t="shared" si="20"/>
        <v>29-Aug</v>
      </c>
      <c r="G701" s="3" t="str">
        <f t="shared" si="21"/>
        <v>Monday</v>
      </c>
      <c r="H701" t="s">
        <v>24</v>
      </c>
      <c r="I701" t="s">
        <v>19</v>
      </c>
      <c r="J701" t="s">
        <v>1466</v>
      </c>
      <c r="K701" t="s">
        <v>21</v>
      </c>
      <c r="L701">
        <v>10</v>
      </c>
    </row>
    <row r="702" spans="1:12">
      <c r="A702">
        <v>701</v>
      </c>
      <c r="B702" t="s">
        <v>1467</v>
      </c>
      <c r="C702" t="s">
        <v>1459</v>
      </c>
      <c r="D702" t="s">
        <v>63</v>
      </c>
      <c r="E702" s="3">
        <v>44764</v>
      </c>
      <c r="F702" s="3" t="str">
        <f t="shared" si="20"/>
        <v>22-Jul</v>
      </c>
      <c r="G702" s="3" t="str">
        <f t="shared" si="21"/>
        <v>Friday</v>
      </c>
      <c r="H702" t="s">
        <v>18</v>
      </c>
      <c r="I702" t="s">
        <v>30</v>
      </c>
      <c r="J702" t="s">
        <v>1468</v>
      </c>
      <c r="K702" t="s">
        <v>21</v>
      </c>
      <c r="L702">
        <v>9</v>
      </c>
    </row>
    <row r="703" spans="1:12">
      <c r="A703">
        <v>702</v>
      </c>
      <c r="B703" t="s">
        <v>1469</v>
      </c>
      <c r="C703" t="s">
        <v>1461</v>
      </c>
      <c r="D703" t="s">
        <v>40</v>
      </c>
      <c r="E703" s="3">
        <v>44780</v>
      </c>
      <c r="F703" s="3" t="str">
        <f t="shared" si="20"/>
        <v>07-Aug</v>
      </c>
      <c r="G703" s="3" t="str">
        <f t="shared" si="21"/>
        <v>Sunday</v>
      </c>
      <c r="H703" t="s">
        <v>24</v>
      </c>
      <c r="I703" t="s">
        <v>19</v>
      </c>
      <c r="J703" t="s">
        <v>1470</v>
      </c>
      <c r="K703" t="s">
        <v>26</v>
      </c>
      <c r="L703">
        <v>7</v>
      </c>
    </row>
    <row r="704" spans="1:12">
      <c r="A704">
        <v>703</v>
      </c>
      <c r="B704" t="s">
        <v>1471</v>
      </c>
      <c r="C704" t="s">
        <v>1463</v>
      </c>
      <c r="D704" t="s">
        <v>68</v>
      </c>
      <c r="E704" s="3">
        <v>44799</v>
      </c>
      <c r="F704" s="3" t="str">
        <f t="shared" si="20"/>
        <v>26-Aug</v>
      </c>
      <c r="G704" s="3" t="str">
        <f t="shared" si="21"/>
        <v>Friday</v>
      </c>
      <c r="H704" t="s">
        <v>18</v>
      </c>
      <c r="I704" t="s">
        <v>19</v>
      </c>
      <c r="J704" t="s">
        <v>1472</v>
      </c>
      <c r="K704" t="s">
        <v>32</v>
      </c>
      <c r="L704">
        <v>8</v>
      </c>
    </row>
    <row r="705" spans="1:12">
      <c r="A705">
        <v>704</v>
      </c>
      <c r="B705" t="s">
        <v>1473</v>
      </c>
      <c r="C705" t="s">
        <v>1465</v>
      </c>
      <c r="D705" t="s">
        <v>57</v>
      </c>
      <c r="E705" s="3">
        <v>44761</v>
      </c>
      <c r="F705" s="3" t="str">
        <f t="shared" si="20"/>
        <v>19-Jul</v>
      </c>
      <c r="G705" s="3" t="str">
        <f t="shared" si="21"/>
        <v>Tuesday</v>
      </c>
      <c r="H705" t="s">
        <v>24</v>
      </c>
      <c r="I705" t="s">
        <v>19</v>
      </c>
      <c r="J705" t="s">
        <v>1474</v>
      </c>
      <c r="K705" t="s">
        <v>21</v>
      </c>
      <c r="L705">
        <v>7</v>
      </c>
    </row>
    <row r="706" spans="1:12">
      <c r="A706">
        <v>705</v>
      </c>
      <c r="B706" t="s">
        <v>1475</v>
      </c>
      <c r="C706" t="s">
        <v>1467</v>
      </c>
      <c r="D706" t="s">
        <v>37</v>
      </c>
      <c r="E706" s="3">
        <v>44782</v>
      </c>
      <c r="F706" s="3" t="str">
        <f t="shared" ref="F706:F769" si="22">TEXT(E706,"dd-mmm")</f>
        <v>09-Aug</v>
      </c>
      <c r="G706" s="3" t="str">
        <f t="shared" ref="G706:G769" si="23">TEXT(E706,"dddd")</f>
        <v>Tuesday</v>
      </c>
      <c r="H706" t="s">
        <v>24</v>
      </c>
      <c r="I706" t="s">
        <v>19</v>
      </c>
      <c r="J706" t="s">
        <v>1476</v>
      </c>
      <c r="K706" t="s">
        <v>26</v>
      </c>
      <c r="L706">
        <v>9</v>
      </c>
    </row>
    <row r="707" spans="1:12">
      <c r="A707">
        <v>706</v>
      </c>
      <c r="B707" t="s">
        <v>1477</v>
      </c>
      <c r="C707" t="s">
        <v>1469</v>
      </c>
      <c r="D707" t="s">
        <v>75</v>
      </c>
      <c r="E707" s="3">
        <v>44806</v>
      </c>
      <c r="F707" s="3" t="str">
        <f t="shared" si="22"/>
        <v>02-Sep</v>
      </c>
      <c r="G707" s="3" t="str">
        <f t="shared" si="23"/>
        <v>Friday</v>
      </c>
      <c r="H707" t="s">
        <v>18</v>
      </c>
      <c r="I707" t="s">
        <v>19</v>
      </c>
      <c r="J707" t="s">
        <v>1478</v>
      </c>
      <c r="K707" t="s">
        <v>32</v>
      </c>
      <c r="L707">
        <v>10</v>
      </c>
    </row>
    <row r="708" spans="1:12">
      <c r="A708">
        <v>707</v>
      </c>
      <c r="B708" t="s">
        <v>1479</v>
      </c>
      <c r="C708" t="s">
        <v>1471</v>
      </c>
      <c r="D708" t="s">
        <v>78</v>
      </c>
      <c r="E708" s="3">
        <v>44798</v>
      </c>
      <c r="F708" s="3" t="str">
        <f t="shared" si="22"/>
        <v>25-Aug</v>
      </c>
      <c r="G708" s="3" t="str">
        <f t="shared" si="23"/>
        <v>Thursday</v>
      </c>
      <c r="H708" t="s">
        <v>24</v>
      </c>
      <c r="I708" t="s">
        <v>30</v>
      </c>
      <c r="J708" t="s">
        <v>1480</v>
      </c>
      <c r="K708" t="s">
        <v>21</v>
      </c>
      <c r="L708">
        <v>7</v>
      </c>
    </row>
    <row r="709" spans="1:12">
      <c r="A709">
        <v>708</v>
      </c>
      <c r="B709" t="s">
        <v>1481</v>
      </c>
      <c r="C709" t="s">
        <v>1473</v>
      </c>
      <c r="D709" t="s">
        <v>81</v>
      </c>
      <c r="E709" s="3">
        <v>44758</v>
      </c>
      <c r="F709" s="3" t="str">
        <f t="shared" si="22"/>
        <v>16-Jul</v>
      </c>
      <c r="G709" s="3" t="str">
        <f t="shared" si="23"/>
        <v>Saturday</v>
      </c>
      <c r="H709" t="s">
        <v>24</v>
      </c>
      <c r="I709" t="s">
        <v>19</v>
      </c>
      <c r="J709" t="s">
        <v>1482</v>
      </c>
      <c r="K709" t="s">
        <v>26</v>
      </c>
      <c r="L709">
        <v>7</v>
      </c>
    </row>
    <row r="710" spans="1:12">
      <c r="A710">
        <v>709</v>
      </c>
      <c r="B710" t="s">
        <v>1483</v>
      </c>
      <c r="C710" t="s">
        <v>1475</v>
      </c>
      <c r="D710" t="s">
        <v>84</v>
      </c>
      <c r="E710" s="3">
        <v>44785</v>
      </c>
      <c r="F710" s="3" t="str">
        <f t="shared" si="22"/>
        <v>12-Aug</v>
      </c>
      <c r="G710" s="3" t="str">
        <f t="shared" si="23"/>
        <v>Friday</v>
      </c>
      <c r="H710" t="s">
        <v>18</v>
      </c>
      <c r="I710" t="s">
        <v>19</v>
      </c>
      <c r="J710" t="s">
        <v>1484</v>
      </c>
      <c r="K710" t="s">
        <v>32</v>
      </c>
      <c r="L710">
        <v>7</v>
      </c>
    </row>
    <row r="711" spans="1:12">
      <c r="A711">
        <v>710</v>
      </c>
      <c r="B711" t="s">
        <v>1485</v>
      </c>
      <c r="C711" t="s">
        <v>1477</v>
      </c>
      <c r="D711" t="s">
        <v>87</v>
      </c>
      <c r="E711" s="3">
        <v>44761</v>
      </c>
      <c r="F711" s="3" t="str">
        <f t="shared" si="22"/>
        <v>19-Jul</v>
      </c>
      <c r="G711" s="3" t="str">
        <f t="shared" si="23"/>
        <v>Tuesday</v>
      </c>
      <c r="H711" t="s">
        <v>24</v>
      </c>
      <c r="I711" t="s">
        <v>19</v>
      </c>
      <c r="J711" t="s">
        <v>1486</v>
      </c>
      <c r="K711" t="s">
        <v>21</v>
      </c>
      <c r="L711">
        <v>9</v>
      </c>
    </row>
    <row r="712" spans="1:12">
      <c r="A712">
        <v>711</v>
      </c>
      <c r="B712" t="s">
        <v>1487</v>
      </c>
      <c r="C712" t="s">
        <v>1479</v>
      </c>
      <c r="D712" t="s">
        <v>90</v>
      </c>
      <c r="E712" s="3">
        <v>44800</v>
      </c>
      <c r="F712" s="3" t="str">
        <f t="shared" si="22"/>
        <v>27-Aug</v>
      </c>
      <c r="G712" s="3" t="str">
        <f t="shared" si="23"/>
        <v>Saturday</v>
      </c>
      <c r="H712" t="s">
        <v>18</v>
      </c>
      <c r="I712" t="s">
        <v>19</v>
      </c>
      <c r="J712" t="s">
        <v>1488</v>
      </c>
      <c r="K712" t="s">
        <v>26</v>
      </c>
      <c r="L712">
        <v>10</v>
      </c>
    </row>
    <row r="713" spans="1:12">
      <c r="A713">
        <v>712</v>
      </c>
      <c r="B713" t="s">
        <v>1489</v>
      </c>
      <c r="C713" t="s">
        <v>1481</v>
      </c>
      <c r="D713" t="s">
        <v>93</v>
      </c>
      <c r="E713" s="3">
        <v>44807</v>
      </c>
      <c r="F713" s="3" t="str">
        <f t="shared" si="22"/>
        <v>03-Sep</v>
      </c>
      <c r="G713" s="3" t="str">
        <f t="shared" si="23"/>
        <v>Saturday</v>
      </c>
      <c r="H713" t="s">
        <v>24</v>
      </c>
      <c r="I713" t="s">
        <v>19</v>
      </c>
      <c r="J713" t="s">
        <v>1490</v>
      </c>
      <c r="K713" t="s">
        <v>32</v>
      </c>
      <c r="L713">
        <v>7</v>
      </c>
    </row>
    <row r="714" spans="1:12">
      <c r="A714">
        <v>713</v>
      </c>
      <c r="B714" t="s">
        <v>1491</v>
      </c>
      <c r="C714" t="s">
        <v>1483</v>
      </c>
      <c r="D714" t="s">
        <v>96</v>
      </c>
      <c r="E714" s="3">
        <v>44799</v>
      </c>
      <c r="F714" s="3" t="str">
        <f t="shared" si="22"/>
        <v>26-Aug</v>
      </c>
      <c r="G714" s="3" t="str">
        <f t="shared" si="23"/>
        <v>Friday</v>
      </c>
      <c r="H714" t="s">
        <v>18</v>
      </c>
      <c r="I714" t="s">
        <v>19</v>
      </c>
      <c r="J714" t="s">
        <v>1492</v>
      </c>
      <c r="K714" t="s">
        <v>21</v>
      </c>
      <c r="L714">
        <v>7</v>
      </c>
    </row>
    <row r="715" spans="1:12">
      <c r="A715">
        <v>714</v>
      </c>
      <c r="B715" t="s">
        <v>1493</v>
      </c>
      <c r="C715" t="s">
        <v>1485</v>
      </c>
      <c r="D715" t="s">
        <v>99</v>
      </c>
      <c r="E715" s="3">
        <v>44759</v>
      </c>
      <c r="F715" s="3" t="str">
        <f t="shared" si="22"/>
        <v>17-Jul</v>
      </c>
      <c r="G715" s="3" t="str">
        <f t="shared" si="23"/>
        <v>Sunday</v>
      </c>
      <c r="H715" t="s">
        <v>24</v>
      </c>
      <c r="I715" t="s">
        <v>19</v>
      </c>
      <c r="J715" t="s">
        <v>1494</v>
      </c>
      <c r="K715" t="s">
        <v>26</v>
      </c>
      <c r="L715">
        <v>8</v>
      </c>
    </row>
    <row r="716" spans="1:12">
      <c r="A716">
        <v>715</v>
      </c>
      <c r="B716" t="s">
        <v>1495</v>
      </c>
      <c r="C716" t="s">
        <v>1487</v>
      </c>
      <c r="D716" t="s">
        <v>103</v>
      </c>
      <c r="E716" s="3">
        <v>44763</v>
      </c>
      <c r="F716" s="3" t="str">
        <f t="shared" si="22"/>
        <v>21-Jul</v>
      </c>
      <c r="G716" s="3" t="str">
        <f t="shared" si="23"/>
        <v>Thursday</v>
      </c>
      <c r="H716" t="s">
        <v>29</v>
      </c>
      <c r="I716" t="s">
        <v>19</v>
      </c>
      <c r="J716" t="s">
        <v>1496</v>
      </c>
      <c r="K716" t="s">
        <v>32</v>
      </c>
      <c r="L716">
        <v>8</v>
      </c>
    </row>
    <row r="717" spans="1:12">
      <c r="A717">
        <v>716</v>
      </c>
      <c r="B717" t="s">
        <v>1497</v>
      </c>
      <c r="C717" t="s">
        <v>1489</v>
      </c>
      <c r="D717" t="s">
        <v>106</v>
      </c>
      <c r="E717" s="3">
        <v>44776</v>
      </c>
      <c r="F717" s="3" t="str">
        <f t="shared" si="22"/>
        <v>03-Aug</v>
      </c>
      <c r="G717" s="3" t="str">
        <f t="shared" si="23"/>
        <v>Wednesday</v>
      </c>
      <c r="H717" t="s">
        <v>18</v>
      </c>
      <c r="I717" t="s">
        <v>19</v>
      </c>
      <c r="J717" t="s">
        <v>1498</v>
      </c>
      <c r="K717" t="s">
        <v>21</v>
      </c>
      <c r="L717">
        <v>10</v>
      </c>
    </row>
    <row r="718" spans="1:12">
      <c r="A718">
        <v>717</v>
      </c>
      <c r="B718" t="s">
        <v>1499</v>
      </c>
      <c r="C718" t="s">
        <v>1491</v>
      </c>
      <c r="D718" t="s">
        <v>109</v>
      </c>
      <c r="E718" s="3">
        <v>44763</v>
      </c>
      <c r="F718" s="3" t="str">
        <f t="shared" si="22"/>
        <v>21-Jul</v>
      </c>
      <c r="G718" s="3" t="str">
        <f t="shared" si="23"/>
        <v>Thursday</v>
      </c>
      <c r="H718" t="s">
        <v>24</v>
      </c>
      <c r="I718" t="s">
        <v>19</v>
      </c>
      <c r="J718" t="s">
        <v>1500</v>
      </c>
      <c r="K718" t="s">
        <v>26</v>
      </c>
      <c r="L718">
        <v>9</v>
      </c>
    </row>
    <row r="719" spans="1:12">
      <c r="A719">
        <v>718</v>
      </c>
      <c r="B719" t="s">
        <v>1501</v>
      </c>
      <c r="C719" t="s">
        <v>1493</v>
      </c>
      <c r="D719" t="s">
        <v>112</v>
      </c>
      <c r="E719" s="3">
        <v>44803</v>
      </c>
      <c r="F719" s="3" t="str">
        <f t="shared" si="22"/>
        <v>30-Aug</v>
      </c>
      <c r="G719" s="3" t="str">
        <f t="shared" si="23"/>
        <v>Tuesday</v>
      </c>
      <c r="H719" t="s">
        <v>24</v>
      </c>
      <c r="I719" t="s">
        <v>19</v>
      </c>
      <c r="J719" t="s">
        <v>1502</v>
      </c>
      <c r="K719" t="s">
        <v>32</v>
      </c>
      <c r="L719">
        <v>9</v>
      </c>
    </row>
    <row r="720" spans="1:12">
      <c r="A720">
        <v>719</v>
      </c>
      <c r="B720" t="s">
        <v>1503</v>
      </c>
      <c r="C720" t="s">
        <v>1495</v>
      </c>
      <c r="D720" t="s">
        <v>115</v>
      </c>
      <c r="E720" s="3">
        <v>44806</v>
      </c>
      <c r="F720" s="3" t="str">
        <f t="shared" si="22"/>
        <v>02-Sep</v>
      </c>
      <c r="G720" s="3" t="str">
        <f t="shared" si="23"/>
        <v>Friday</v>
      </c>
      <c r="H720" t="s">
        <v>18</v>
      </c>
      <c r="I720" t="s">
        <v>19</v>
      </c>
      <c r="J720" t="s">
        <v>1504</v>
      </c>
      <c r="K720" t="s">
        <v>21</v>
      </c>
      <c r="L720">
        <v>7</v>
      </c>
    </row>
    <row r="721" spans="1:12">
      <c r="A721">
        <v>720</v>
      </c>
      <c r="B721" t="s">
        <v>1505</v>
      </c>
      <c r="C721" t="s">
        <v>1497</v>
      </c>
      <c r="D721" t="s">
        <v>63</v>
      </c>
      <c r="E721" s="3">
        <v>44774</v>
      </c>
      <c r="F721" s="3" t="str">
        <f t="shared" si="22"/>
        <v>01-Aug</v>
      </c>
      <c r="G721" s="3" t="str">
        <f t="shared" si="23"/>
        <v>Monday</v>
      </c>
      <c r="H721" t="s">
        <v>24</v>
      </c>
      <c r="I721" t="s">
        <v>19</v>
      </c>
      <c r="J721" t="s">
        <v>1506</v>
      </c>
      <c r="K721" t="s">
        <v>26</v>
      </c>
      <c r="L721">
        <v>10</v>
      </c>
    </row>
    <row r="722" spans="1:12">
      <c r="A722">
        <v>721</v>
      </c>
      <c r="B722" t="s">
        <v>1507</v>
      </c>
      <c r="C722" t="s">
        <v>1499</v>
      </c>
      <c r="D722" t="s">
        <v>87</v>
      </c>
      <c r="E722" s="3">
        <v>44769</v>
      </c>
      <c r="F722" s="3" t="str">
        <f t="shared" si="22"/>
        <v>27-Jul</v>
      </c>
      <c r="G722" s="3" t="str">
        <f t="shared" si="23"/>
        <v>Wednesday</v>
      </c>
      <c r="H722" t="s">
        <v>18</v>
      </c>
      <c r="I722" t="s">
        <v>19</v>
      </c>
      <c r="J722" t="s">
        <v>1508</v>
      </c>
      <c r="K722" t="s">
        <v>32</v>
      </c>
      <c r="L722">
        <v>7</v>
      </c>
    </row>
    <row r="723" spans="1:12">
      <c r="A723">
        <v>722</v>
      </c>
      <c r="B723" t="s">
        <v>1509</v>
      </c>
      <c r="C723" t="s">
        <v>1501</v>
      </c>
      <c r="D723" t="s">
        <v>103</v>
      </c>
      <c r="E723" s="3">
        <v>44793</v>
      </c>
      <c r="F723" s="3" t="str">
        <f t="shared" si="22"/>
        <v>20-Aug</v>
      </c>
      <c r="G723" s="3" t="str">
        <f t="shared" si="23"/>
        <v>Saturday</v>
      </c>
      <c r="H723" t="s">
        <v>24</v>
      </c>
      <c r="I723" t="s">
        <v>19</v>
      </c>
      <c r="J723" t="s">
        <v>1510</v>
      </c>
      <c r="K723" t="s">
        <v>21</v>
      </c>
      <c r="L723">
        <v>7</v>
      </c>
    </row>
    <row r="724" spans="1:12">
      <c r="A724">
        <v>723</v>
      </c>
      <c r="B724" t="s">
        <v>1511</v>
      </c>
      <c r="C724" t="s">
        <v>1503</v>
      </c>
      <c r="D724" t="s">
        <v>37</v>
      </c>
      <c r="E724" s="3">
        <v>44768</v>
      </c>
      <c r="F724" s="3" t="str">
        <f t="shared" si="22"/>
        <v>26-Jul</v>
      </c>
      <c r="G724" s="3" t="str">
        <f t="shared" si="23"/>
        <v>Tuesday</v>
      </c>
      <c r="H724" t="s">
        <v>24</v>
      </c>
      <c r="I724" t="s">
        <v>19</v>
      </c>
      <c r="J724" t="s">
        <v>1512</v>
      </c>
      <c r="K724" t="s">
        <v>26</v>
      </c>
      <c r="L724">
        <v>10</v>
      </c>
    </row>
    <row r="725" spans="1:12">
      <c r="A725">
        <v>724</v>
      </c>
      <c r="B725" t="s">
        <v>1513</v>
      </c>
      <c r="C725" t="s">
        <v>1505</v>
      </c>
      <c r="D725" t="s">
        <v>68</v>
      </c>
      <c r="E725" s="3">
        <v>44803</v>
      </c>
      <c r="F725" s="3" t="str">
        <f t="shared" si="22"/>
        <v>30-Aug</v>
      </c>
      <c r="G725" s="3" t="str">
        <f t="shared" si="23"/>
        <v>Tuesday</v>
      </c>
      <c r="H725" t="s">
        <v>18</v>
      </c>
      <c r="I725" t="s">
        <v>19</v>
      </c>
      <c r="J725" t="s">
        <v>1514</v>
      </c>
      <c r="K725" t="s">
        <v>32</v>
      </c>
      <c r="L725">
        <v>7</v>
      </c>
    </row>
    <row r="726" spans="1:12">
      <c r="A726">
        <v>725</v>
      </c>
      <c r="B726" t="s">
        <v>1515</v>
      </c>
      <c r="C726" t="s">
        <v>1507</v>
      </c>
      <c r="D726" t="s">
        <v>109</v>
      </c>
      <c r="E726" s="3">
        <v>44755</v>
      </c>
      <c r="F726" s="3" t="str">
        <f t="shared" si="22"/>
        <v>13-Jul</v>
      </c>
      <c r="G726" s="3" t="str">
        <f t="shared" si="23"/>
        <v>Wednesday</v>
      </c>
      <c r="H726" t="s">
        <v>24</v>
      </c>
      <c r="I726" t="s">
        <v>19</v>
      </c>
      <c r="J726" t="s">
        <v>1516</v>
      </c>
      <c r="K726" t="s">
        <v>21</v>
      </c>
      <c r="L726">
        <v>10</v>
      </c>
    </row>
    <row r="727" spans="1:12">
      <c r="A727">
        <v>726</v>
      </c>
      <c r="B727" t="s">
        <v>1517</v>
      </c>
      <c r="C727" t="s">
        <v>1509</v>
      </c>
      <c r="D727" t="s">
        <v>112</v>
      </c>
      <c r="E727" s="3">
        <v>44789</v>
      </c>
      <c r="F727" s="3" t="str">
        <f t="shared" si="22"/>
        <v>16-Aug</v>
      </c>
      <c r="G727" s="3" t="str">
        <f t="shared" si="23"/>
        <v>Tuesday</v>
      </c>
      <c r="H727" t="s">
        <v>24</v>
      </c>
      <c r="I727" t="s">
        <v>19</v>
      </c>
      <c r="J727" t="s">
        <v>1518</v>
      </c>
      <c r="K727" t="s">
        <v>26</v>
      </c>
      <c r="L727">
        <v>9</v>
      </c>
    </row>
    <row r="728" spans="1:12">
      <c r="A728">
        <v>727</v>
      </c>
      <c r="B728" t="s">
        <v>1519</v>
      </c>
      <c r="C728" t="s">
        <v>1511</v>
      </c>
      <c r="D728" t="s">
        <v>134</v>
      </c>
      <c r="E728" s="3">
        <v>44785</v>
      </c>
      <c r="F728" s="3" t="str">
        <f t="shared" si="22"/>
        <v>12-Aug</v>
      </c>
      <c r="G728" s="3" t="str">
        <f t="shared" si="23"/>
        <v>Friday</v>
      </c>
      <c r="H728" t="s">
        <v>18</v>
      </c>
      <c r="I728" t="s">
        <v>19</v>
      </c>
      <c r="J728" t="s">
        <v>1520</v>
      </c>
      <c r="K728" t="s">
        <v>32</v>
      </c>
      <c r="L728">
        <v>10</v>
      </c>
    </row>
    <row r="729" spans="1:12">
      <c r="A729">
        <v>728</v>
      </c>
      <c r="B729" t="s">
        <v>1521</v>
      </c>
      <c r="C729" t="s">
        <v>1513</v>
      </c>
      <c r="D729" t="s">
        <v>277</v>
      </c>
      <c r="E729" s="3">
        <v>44775</v>
      </c>
      <c r="F729" s="3" t="str">
        <f t="shared" si="22"/>
        <v>02-Aug</v>
      </c>
      <c r="G729" s="3" t="str">
        <f t="shared" si="23"/>
        <v>Tuesday</v>
      </c>
      <c r="H729" t="s">
        <v>24</v>
      </c>
      <c r="I729" t="s">
        <v>19</v>
      </c>
      <c r="J729" t="s">
        <v>1522</v>
      </c>
      <c r="K729" t="s">
        <v>21</v>
      </c>
      <c r="L729">
        <v>7</v>
      </c>
    </row>
    <row r="730" spans="1:12">
      <c r="A730">
        <v>729</v>
      </c>
      <c r="B730" t="s">
        <v>1523</v>
      </c>
      <c r="C730" t="s">
        <v>1515</v>
      </c>
      <c r="D730" t="s">
        <v>139</v>
      </c>
      <c r="E730" s="3">
        <v>44807</v>
      </c>
      <c r="F730" s="3" t="str">
        <f t="shared" si="22"/>
        <v>03-Sep</v>
      </c>
      <c r="G730" s="3" t="str">
        <f t="shared" si="23"/>
        <v>Saturday</v>
      </c>
      <c r="H730" t="s">
        <v>18</v>
      </c>
      <c r="I730" t="s">
        <v>30</v>
      </c>
      <c r="J730" t="s">
        <v>1524</v>
      </c>
      <c r="K730" t="s">
        <v>26</v>
      </c>
      <c r="L730">
        <v>10</v>
      </c>
    </row>
    <row r="731" spans="1:12">
      <c r="A731">
        <v>730</v>
      </c>
      <c r="B731" t="s">
        <v>1525</v>
      </c>
      <c r="C731" t="s">
        <v>1517</v>
      </c>
      <c r="D731" t="s">
        <v>142</v>
      </c>
      <c r="E731" s="3">
        <v>44765</v>
      </c>
      <c r="F731" s="3" t="str">
        <f t="shared" si="22"/>
        <v>23-Jul</v>
      </c>
      <c r="G731" s="3" t="str">
        <f t="shared" si="23"/>
        <v>Saturday</v>
      </c>
      <c r="H731" t="s">
        <v>24</v>
      </c>
      <c r="I731" t="s">
        <v>19</v>
      </c>
      <c r="J731" t="s">
        <v>1526</v>
      </c>
      <c r="K731" t="s">
        <v>32</v>
      </c>
      <c r="L731">
        <v>10</v>
      </c>
    </row>
    <row r="732" spans="1:12">
      <c r="A732">
        <v>731</v>
      </c>
      <c r="B732" t="s">
        <v>1527</v>
      </c>
      <c r="C732" t="s">
        <v>1519</v>
      </c>
      <c r="D732" t="s">
        <v>145</v>
      </c>
      <c r="E732" s="3">
        <v>44791</v>
      </c>
      <c r="F732" s="3" t="str">
        <f t="shared" si="22"/>
        <v>18-Aug</v>
      </c>
      <c r="G732" s="3" t="str">
        <f t="shared" si="23"/>
        <v>Thursday</v>
      </c>
      <c r="H732" t="s">
        <v>18</v>
      </c>
      <c r="I732" t="s">
        <v>19</v>
      </c>
      <c r="J732" t="s">
        <v>1528</v>
      </c>
      <c r="K732" t="s">
        <v>21</v>
      </c>
      <c r="L732">
        <v>8</v>
      </c>
    </row>
    <row r="733" spans="1:12">
      <c r="A733">
        <v>732</v>
      </c>
      <c r="B733" t="s">
        <v>1529</v>
      </c>
      <c r="C733" t="s">
        <v>1521</v>
      </c>
      <c r="D733" t="s">
        <v>148</v>
      </c>
      <c r="E733" s="3">
        <v>44777</v>
      </c>
      <c r="F733" s="3" t="str">
        <f t="shared" si="22"/>
        <v>04-Aug</v>
      </c>
      <c r="G733" s="3" t="str">
        <f t="shared" si="23"/>
        <v>Thursday</v>
      </c>
      <c r="H733" t="s">
        <v>24</v>
      </c>
      <c r="I733" t="s">
        <v>19</v>
      </c>
      <c r="J733" t="s">
        <v>1530</v>
      </c>
      <c r="K733" t="s">
        <v>26</v>
      </c>
      <c r="L733">
        <v>10</v>
      </c>
    </row>
    <row r="734" spans="1:12">
      <c r="A734">
        <v>733</v>
      </c>
      <c r="B734" t="s">
        <v>1531</v>
      </c>
      <c r="C734" t="s">
        <v>1523</v>
      </c>
      <c r="D734" t="s">
        <v>151</v>
      </c>
      <c r="E734" s="3">
        <v>44806</v>
      </c>
      <c r="F734" s="3" t="str">
        <f t="shared" si="22"/>
        <v>02-Sep</v>
      </c>
      <c r="G734" s="3" t="str">
        <f t="shared" si="23"/>
        <v>Friday</v>
      </c>
      <c r="H734" t="s">
        <v>24</v>
      </c>
      <c r="I734" t="s">
        <v>19</v>
      </c>
      <c r="J734" t="s">
        <v>1532</v>
      </c>
      <c r="K734" t="s">
        <v>32</v>
      </c>
      <c r="L734">
        <v>9</v>
      </c>
    </row>
    <row r="735" spans="1:12">
      <c r="A735">
        <v>734</v>
      </c>
      <c r="B735" t="s">
        <v>1533</v>
      </c>
      <c r="C735" t="s">
        <v>1525</v>
      </c>
      <c r="D735" t="s">
        <v>154</v>
      </c>
      <c r="E735" s="3">
        <v>44796</v>
      </c>
      <c r="F735" s="3" t="str">
        <f t="shared" si="22"/>
        <v>23-Aug</v>
      </c>
      <c r="G735" s="3" t="str">
        <f t="shared" si="23"/>
        <v>Tuesday</v>
      </c>
      <c r="H735" t="s">
        <v>18</v>
      </c>
      <c r="I735" t="s">
        <v>19</v>
      </c>
      <c r="J735" t="s">
        <v>1534</v>
      </c>
      <c r="K735" t="s">
        <v>21</v>
      </c>
      <c r="L735">
        <v>9</v>
      </c>
    </row>
    <row r="736" spans="1:12">
      <c r="A736">
        <v>735</v>
      </c>
      <c r="B736" t="s">
        <v>1535</v>
      </c>
      <c r="C736" t="s">
        <v>1527</v>
      </c>
      <c r="D736" t="s">
        <v>84</v>
      </c>
      <c r="E736" s="3">
        <v>44760</v>
      </c>
      <c r="F736" s="3" t="str">
        <f t="shared" si="22"/>
        <v>18-Jul</v>
      </c>
      <c r="G736" s="3" t="str">
        <f t="shared" si="23"/>
        <v>Monday</v>
      </c>
      <c r="H736" t="s">
        <v>24</v>
      </c>
      <c r="I736" t="s">
        <v>30</v>
      </c>
      <c r="J736" t="s">
        <v>1536</v>
      </c>
      <c r="K736" t="s">
        <v>26</v>
      </c>
      <c r="L736">
        <v>9</v>
      </c>
    </row>
    <row r="737" spans="1:12">
      <c r="A737">
        <v>736</v>
      </c>
      <c r="B737" t="s">
        <v>1537</v>
      </c>
      <c r="C737" t="s">
        <v>1529</v>
      </c>
      <c r="D737" t="s">
        <v>87</v>
      </c>
      <c r="E737" s="3">
        <v>44759</v>
      </c>
      <c r="F737" s="3" t="str">
        <f t="shared" si="22"/>
        <v>17-Jul</v>
      </c>
      <c r="G737" s="3" t="str">
        <f t="shared" si="23"/>
        <v>Sunday</v>
      </c>
      <c r="H737" t="s">
        <v>18</v>
      </c>
      <c r="I737" t="s">
        <v>19</v>
      </c>
      <c r="J737" t="s">
        <v>1538</v>
      </c>
      <c r="K737" t="s">
        <v>32</v>
      </c>
      <c r="L737">
        <v>10</v>
      </c>
    </row>
    <row r="738" spans="1:12">
      <c r="A738">
        <v>737</v>
      </c>
      <c r="B738" t="s">
        <v>1539</v>
      </c>
      <c r="C738" t="s">
        <v>1531</v>
      </c>
      <c r="D738" t="s">
        <v>90</v>
      </c>
      <c r="E738" s="3">
        <v>44795</v>
      </c>
      <c r="F738" s="3" t="str">
        <f t="shared" si="22"/>
        <v>22-Aug</v>
      </c>
      <c r="G738" s="3" t="str">
        <f t="shared" si="23"/>
        <v>Monday</v>
      </c>
      <c r="H738" t="s">
        <v>24</v>
      </c>
      <c r="I738" t="s">
        <v>19</v>
      </c>
      <c r="J738" t="s">
        <v>1540</v>
      </c>
      <c r="K738" t="s">
        <v>21</v>
      </c>
      <c r="L738">
        <v>9</v>
      </c>
    </row>
    <row r="739" spans="1:12">
      <c r="A739">
        <v>738</v>
      </c>
      <c r="B739" t="s">
        <v>1541</v>
      </c>
      <c r="C739" t="s">
        <v>1533</v>
      </c>
      <c r="D739" t="s">
        <v>93</v>
      </c>
      <c r="E739" s="3">
        <v>44808</v>
      </c>
      <c r="F739" s="3" t="str">
        <f t="shared" si="22"/>
        <v>04-Sep</v>
      </c>
      <c r="G739" s="3" t="str">
        <f t="shared" si="23"/>
        <v>Sunday</v>
      </c>
      <c r="H739" t="s">
        <v>18</v>
      </c>
      <c r="I739" t="s">
        <v>19</v>
      </c>
      <c r="J739" t="s">
        <v>1542</v>
      </c>
      <c r="K739" t="s">
        <v>26</v>
      </c>
      <c r="L739">
        <v>10</v>
      </c>
    </row>
    <row r="740" spans="1:12">
      <c r="A740">
        <v>739</v>
      </c>
      <c r="B740" t="s">
        <v>1543</v>
      </c>
      <c r="C740" t="s">
        <v>1535</v>
      </c>
      <c r="D740" t="s">
        <v>96</v>
      </c>
      <c r="E740" s="3">
        <v>44756</v>
      </c>
      <c r="F740" s="3" t="str">
        <f t="shared" si="22"/>
        <v>14-Jul</v>
      </c>
      <c r="G740" s="3" t="str">
        <f t="shared" si="23"/>
        <v>Thursday</v>
      </c>
      <c r="H740" t="s">
        <v>24</v>
      </c>
      <c r="I740" t="s">
        <v>19</v>
      </c>
      <c r="J740" t="s">
        <v>1544</v>
      </c>
      <c r="K740" t="s">
        <v>32</v>
      </c>
      <c r="L740">
        <v>9</v>
      </c>
    </row>
    <row r="741" spans="1:12">
      <c r="A741">
        <v>740</v>
      </c>
      <c r="B741" t="s">
        <v>1545</v>
      </c>
      <c r="C741" t="s">
        <v>1537</v>
      </c>
      <c r="D741" t="s">
        <v>99</v>
      </c>
      <c r="E741" s="3">
        <v>44801</v>
      </c>
      <c r="F741" s="3" t="str">
        <f t="shared" si="22"/>
        <v>28-Aug</v>
      </c>
      <c r="G741" s="3" t="str">
        <f t="shared" si="23"/>
        <v>Sunday</v>
      </c>
      <c r="H741" t="s">
        <v>29</v>
      </c>
      <c r="I741" t="s">
        <v>19</v>
      </c>
      <c r="J741" t="s">
        <v>1546</v>
      </c>
      <c r="K741" t="s">
        <v>21</v>
      </c>
      <c r="L741">
        <v>8</v>
      </c>
    </row>
    <row r="742" spans="1:12">
      <c r="A742">
        <v>741</v>
      </c>
      <c r="B742" t="s">
        <v>1547</v>
      </c>
      <c r="C742" t="s">
        <v>1539</v>
      </c>
      <c r="D742" t="s">
        <v>103</v>
      </c>
      <c r="E742" s="3">
        <v>44806</v>
      </c>
      <c r="F742" s="3" t="str">
        <f t="shared" si="22"/>
        <v>02-Sep</v>
      </c>
      <c r="G742" s="3" t="str">
        <f t="shared" si="23"/>
        <v>Friday</v>
      </c>
      <c r="H742" t="s">
        <v>18</v>
      </c>
      <c r="I742" t="s">
        <v>19</v>
      </c>
      <c r="J742" t="s">
        <v>1548</v>
      </c>
      <c r="K742" t="s">
        <v>26</v>
      </c>
      <c r="L742">
        <v>7</v>
      </c>
    </row>
    <row r="743" spans="1:12">
      <c r="A743">
        <v>742</v>
      </c>
      <c r="B743" t="s">
        <v>1549</v>
      </c>
      <c r="C743" t="s">
        <v>1541</v>
      </c>
      <c r="D743" t="s">
        <v>106</v>
      </c>
      <c r="E743" s="3">
        <v>44794</v>
      </c>
      <c r="F743" s="3" t="str">
        <f t="shared" si="22"/>
        <v>21-Aug</v>
      </c>
      <c r="G743" s="3" t="str">
        <f t="shared" si="23"/>
        <v>Sunday</v>
      </c>
      <c r="H743" t="s">
        <v>24</v>
      </c>
      <c r="I743" t="s">
        <v>19</v>
      </c>
      <c r="J743" t="s">
        <v>1550</v>
      </c>
      <c r="K743" t="s">
        <v>32</v>
      </c>
      <c r="L743">
        <v>10</v>
      </c>
    </row>
    <row r="744" spans="1:12">
      <c r="A744">
        <v>743</v>
      </c>
      <c r="B744" t="s">
        <v>1551</v>
      </c>
      <c r="C744" t="s">
        <v>1543</v>
      </c>
      <c r="D744" t="s">
        <v>109</v>
      </c>
      <c r="E744" s="3">
        <v>44800</v>
      </c>
      <c r="F744" s="3" t="str">
        <f t="shared" si="22"/>
        <v>27-Aug</v>
      </c>
      <c r="G744" s="3" t="str">
        <f t="shared" si="23"/>
        <v>Saturday</v>
      </c>
      <c r="H744" t="s">
        <v>24</v>
      </c>
      <c r="I744" t="s">
        <v>19</v>
      </c>
      <c r="J744" t="s">
        <v>1552</v>
      </c>
      <c r="K744" t="s">
        <v>21</v>
      </c>
      <c r="L744">
        <v>7</v>
      </c>
    </row>
    <row r="745" spans="1:12">
      <c r="A745">
        <v>744</v>
      </c>
      <c r="B745" t="s">
        <v>1553</v>
      </c>
      <c r="C745" t="s">
        <v>1545</v>
      </c>
      <c r="D745" t="s">
        <v>112</v>
      </c>
      <c r="E745" s="3">
        <v>44789</v>
      </c>
      <c r="F745" s="3" t="str">
        <f t="shared" si="22"/>
        <v>16-Aug</v>
      </c>
      <c r="G745" s="3" t="str">
        <f t="shared" si="23"/>
        <v>Tuesday</v>
      </c>
      <c r="H745" t="s">
        <v>18</v>
      </c>
      <c r="I745" t="s">
        <v>19</v>
      </c>
      <c r="J745" t="s">
        <v>1554</v>
      </c>
      <c r="K745" t="s">
        <v>26</v>
      </c>
      <c r="L745">
        <v>8</v>
      </c>
    </row>
    <row r="746" spans="1:12">
      <c r="A746">
        <v>745</v>
      </c>
      <c r="B746" t="s">
        <v>1555</v>
      </c>
      <c r="C746" t="s">
        <v>1547</v>
      </c>
      <c r="D746" t="s">
        <v>17</v>
      </c>
      <c r="E746" s="3">
        <v>44802</v>
      </c>
      <c r="F746" s="3" t="str">
        <f t="shared" si="22"/>
        <v>29-Aug</v>
      </c>
      <c r="G746" s="3" t="str">
        <f t="shared" si="23"/>
        <v>Monday</v>
      </c>
      <c r="H746" t="s">
        <v>24</v>
      </c>
      <c r="I746" t="s">
        <v>19</v>
      </c>
      <c r="J746" t="s">
        <v>1556</v>
      </c>
      <c r="K746" t="s">
        <v>32</v>
      </c>
      <c r="L746">
        <v>9</v>
      </c>
    </row>
    <row r="747" spans="1:12">
      <c r="A747">
        <v>746</v>
      </c>
      <c r="B747" t="s">
        <v>1557</v>
      </c>
      <c r="C747" t="s">
        <v>1549</v>
      </c>
      <c r="D747" t="s">
        <v>23</v>
      </c>
      <c r="E747" s="3">
        <v>44793</v>
      </c>
      <c r="F747" s="3" t="str">
        <f t="shared" si="22"/>
        <v>20-Aug</v>
      </c>
      <c r="G747" s="3" t="str">
        <f t="shared" si="23"/>
        <v>Saturday</v>
      </c>
      <c r="H747" t="s">
        <v>18</v>
      </c>
      <c r="I747" t="s">
        <v>19</v>
      </c>
      <c r="J747" t="s">
        <v>1558</v>
      </c>
      <c r="K747" t="s">
        <v>21</v>
      </c>
      <c r="L747">
        <v>9</v>
      </c>
    </row>
    <row r="748" spans="1:12">
      <c r="A748">
        <v>747</v>
      </c>
      <c r="B748" t="s">
        <v>1559</v>
      </c>
      <c r="C748" t="s">
        <v>1551</v>
      </c>
      <c r="D748" t="s">
        <v>28</v>
      </c>
      <c r="E748" s="3">
        <v>44793</v>
      </c>
      <c r="F748" s="3" t="str">
        <f t="shared" si="22"/>
        <v>20-Aug</v>
      </c>
      <c r="G748" s="3" t="str">
        <f t="shared" si="23"/>
        <v>Saturday</v>
      </c>
      <c r="H748" t="s">
        <v>24</v>
      </c>
      <c r="I748" t="s">
        <v>19</v>
      </c>
      <c r="J748" t="s">
        <v>1560</v>
      </c>
      <c r="K748" t="s">
        <v>26</v>
      </c>
      <c r="L748">
        <v>9</v>
      </c>
    </row>
    <row r="749" spans="1:12">
      <c r="A749">
        <v>748</v>
      </c>
      <c r="B749" t="s">
        <v>1561</v>
      </c>
      <c r="C749" t="s">
        <v>1553</v>
      </c>
      <c r="D749" t="s">
        <v>34</v>
      </c>
      <c r="E749" s="3">
        <v>44785</v>
      </c>
      <c r="F749" s="3" t="str">
        <f t="shared" si="22"/>
        <v>12-Aug</v>
      </c>
      <c r="G749" s="3" t="str">
        <f t="shared" si="23"/>
        <v>Friday</v>
      </c>
      <c r="H749" t="s">
        <v>24</v>
      </c>
      <c r="I749" t="s">
        <v>19</v>
      </c>
      <c r="J749" t="s">
        <v>1562</v>
      </c>
      <c r="K749" t="s">
        <v>32</v>
      </c>
      <c r="L749">
        <v>9</v>
      </c>
    </row>
    <row r="750" spans="1:12">
      <c r="A750">
        <v>749</v>
      </c>
      <c r="B750" t="s">
        <v>1563</v>
      </c>
      <c r="C750" t="s">
        <v>1555</v>
      </c>
      <c r="D750" t="s">
        <v>37</v>
      </c>
      <c r="E750" s="3">
        <v>44778</v>
      </c>
      <c r="F750" s="3" t="str">
        <f t="shared" si="22"/>
        <v>05-Aug</v>
      </c>
      <c r="G750" s="3" t="str">
        <f t="shared" si="23"/>
        <v>Friday</v>
      </c>
      <c r="H750" t="s">
        <v>18</v>
      </c>
      <c r="I750" t="s">
        <v>19</v>
      </c>
      <c r="J750" t="s">
        <v>1564</v>
      </c>
      <c r="K750" t="s">
        <v>21</v>
      </c>
      <c r="L750">
        <v>9</v>
      </c>
    </row>
    <row r="751" spans="1:12">
      <c r="A751">
        <v>750</v>
      </c>
      <c r="B751" t="s">
        <v>1565</v>
      </c>
      <c r="C751" t="s">
        <v>1557</v>
      </c>
      <c r="D751" t="s">
        <v>40</v>
      </c>
      <c r="E751" s="3">
        <v>44764</v>
      </c>
      <c r="F751" s="3" t="str">
        <f t="shared" si="22"/>
        <v>22-Jul</v>
      </c>
      <c r="G751" s="3" t="str">
        <f t="shared" si="23"/>
        <v>Friday</v>
      </c>
      <c r="H751" t="s">
        <v>24</v>
      </c>
      <c r="I751" t="s">
        <v>19</v>
      </c>
      <c r="J751" t="s">
        <v>1566</v>
      </c>
      <c r="K751" t="s">
        <v>21</v>
      </c>
      <c r="L751">
        <v>7</v>
      </c>
    </row>
    <row r="752" spans="1:12">
      <c r="A752">
        <v>751</v>
      </c>
      <c r="B752" t="s">
        <v>1567</v>
      </c>
      <c r="C752" t="s">
        <v>1559</v>
      </c>
      <c r="D752" t="s">
        <v>17</v>
      </c>
      <c r="E752" s="3">
        <v>44769</v>
      </c>
      <c r="F752" s="3" t="str">
        <f t="shared" si="22"/>
        <v>27-Jul</v>
      </c>
      <c r="G752" s="3" t="str">
        <f t="shared" si="23"/>
        <v>Wednesday</v>
      </c>
      <c r="H752" t="s">
        <v>18</v>
      </c>
      <c r="I752" t="s">
        <v>19</v>
      </c>
      <c r="J752" t="s">
        <v>1568</v>
      </c>
      <c r="K752" t="s">
        <v>21</v>
      </c>
      <c r="L752">
        <v>9</v>
      </c>
    </row>
    <row r="753" spans="1:12">
      <c r="A753">
        <v>752</v>
      </c>
      <c r="B753" t="s">
        <v>1569</v>
      </c>
      <c r="C753" t="s">
        <v>1561</v>
      </c>
      <c r="D753" t="s">
        <v>23</v>
      </c>
      <c r="E753" s="3">
        <v>44794</v>
      </c>
      <c r="F753" s="3" t="str">
        <f t="shared" si="22"/>
        <v>21-Aug</v>
      </c>
      <c r="G753" s="3" t="str">
        <f t="shared" si="23"/>
        <v>Sunday</v>
      </c>
      <c r="H753" t="s">
        <v>24</v>
      </c>
      <c r="I753" t="s">
        <v>19</v>
      </c>
      <c r="J753" t="s">
        <v>1570</v>
      </c>
      <c r="K753" t="s">
        <v>26</v>
      </c>
      <c r="L753">
        <v>7</v>
      </c>
    </row>
    <row r="754" spans="1:12">
      <c r="A754">
        <v>753</v>
      </c>
      <c r="B754" t="s">
        <v>1571</v>
      </c>
      <c r="C754" t="s">
        <v>1563</v>
      </c>
      <c r="D754" t="s">
        <v>28</v>
      </c>
      <c r="E754" s="3">
        <v>44766</v>
      </c>
      <c r="F754" s="3" t="str">
        <f t="shared" si="22"/>
        <v>24-Jul</v>
      </c>
      <c r="G754" s="3" t="str">
        <f t="shared" si="23"/>
        <v>Sunday</v>
      </c>
      <c r="H754" t="s">
        <v>29</v>
      </c>
      <c r="I754" t="s">
        <v>30</v>
      </c>
      <c r="J754" t="s">
        <v>1572</v>
      </c>
      <c r="K754" t="s">
        <v>32</v>
      </c>
      <c r="L754">
        <v>8</v>
      </c>
    </row>
    <row r="755" spans="1:12">
      <c r="A755">
        <v>754</v>
      </c>
      <c r="B755" t="s">
        <v>1573</v>
      </c>
      <c r="C755" t="s">
        <v>1565</v>
      </c>
      <c r="D755" t="s">
        <v>34</v>
      </c>
      <c r="E755" s="3">
        <v>44772</v>
      </c>
      <c r="F755" s="3" t="str">
        <f t="shared" si="22"/>
        <v>30-Jul</v>
      </c>
      <c r="G755" s="3" t="str">
        <f t="shared" si="23"/>
        <v>Saturday</v>
      </c>
      <c r="H755" t="s">
        <v>18</v>
      </c>
      <c r="I755" t="s">
        <v>19</v>
      </c>
      <c r="J755" t="s">
        <v>1574</v>
      </c>
      <c r="K755" t="s">
        <v>21</v>
      </c>
      <c r="L755">
        <v>6</v>
      </c>
    </row>
    <row r="756" spans="1:12">
      <c r="A756">
        <v>755</v>
      </c>
      <c r="B756" t="s">
        <v>1575</v>
      </c>
      <c r="C756" t="s">
        <v>1567</v>
      </c>
      <c r="D756" t="s">
        <v>37</v>
      </c>
      <c r="E756" s="3">
        <v>44787</v>
      </c>
      <c r="F756" s="3" t="str">
        <f t="shared" si="22"/>
        <v>14-Aug</v>
      </c>
      <c r="G756" s="3" t="str">
        <f t="shared" si="23"/>
        <v>Sunday</v>
      </c>
      <c r="H756" t="s">
        <v>24</v>
      </c>
      <c r="I756" t="s">
        <v>19</v>
      </c>
      <c r="J756" t="s">
        <v>1576</v>
      </c>
      <c r="K756" t="s">
        <v>26</v>
      </c>
      <c r="L756">
        <v>2</v>
      </c>
    </row>
    <row r="757" spans="1:12">
      <c r="A757">
        <v>756</v>
      </c>
      <c r="B757" t="s">
        <v>1577</v>
      </c>
      <c r="C757" t="s">
        <v>1569</v>
      </c>
      <c r="D757" t="s">
        <v>40</v>
      </c>
      <c r="E757" s="3">
        <v>44755</v>
      </c>
      <c r="F757" s="3" t="str">
        <f t="shared" si="22"/>
        <v>13-Jul</v>
      </c>
      <c r="G757" s="3" t="str">
        <f t="shared" si="23"/>
        <v>Wednesday</v>
      </c>
      <c r="H757" t="s">
        <v>24</v>
      </c>
      <c r="I757" t="s">
        <v>19</v>
      </c>
      <c r="J757" t="s">
        <v>1578</v>
      </c>
      <c r="K757" t="s">
        <v>32</v>
      </c>
      <c r="L757">
        <v>4</v>
      </c>
    </row>
    <row r="758" spans="1:12">
      <c r="A758">
        <v>757</v>
      </c>
      <c r="B758" t="s">
        <v>1579</v>
      </c>
      <c r="C758" t="s">
        <v>1571</v>
      </c>
      <c r="D758" t="s">
        <v>43</v>
      </c>
      <c r="E758" s="3">
        <v>44785</v>
      </c>
      <c r="F758" s="3" t="str">
        <f t="shared" si="22"/>
        <v>12-Aug</v>
      </c>
      <c r="G758" s="3" t="str">
        <f t="shared" si="23"/>
        <v>Friday</v>
      </c>
      <c r="H758" t="s">
        <v>18</v>
      </c>
      <c r="I758" t="s">
        <v>19</v>
      </c>
      <c r="J758" t="s">
        <v>1580</v>
      </c>
      <c r="K758" t="s">
        <v>21</v>
      </c>
      <c r="L758">
        <v>1</v>
      </c>
    </row>
    <row r="759" spans="1:12">
      <c r="A759">
        <v>758</v>
      </c>
      <c r="B759" t="s">
        <v>1581</v>
      </c>
      <c r="C759" t="s">
        <v>1573</v>
      </c>
      <c r="D759" t="s">
        <v>43</v>
      </c>
      <c r="E759" s="3">
        <v>44761</v>
      </c>
      <c r="F759" s="3" t="str">
        <f t="shared" si="22"/>
        <v>19-Jul</v>
      </c>
      <c r="G759" s="3" t="str">
        <f t="shared" si="23"/>
        <v>Tuesday</v>
      </c>
      <c r="H759" t="s">
        <v>24</v>
      </c>
      <c r="I759" t="s">
        <v>19</v>
      </c>
      <c r="J759" t="s">
        <v>1582</v>
      </c>
      <c r="K759" t="s">
        <v>26</v>
      </c>
      <c r="L759">
        <v>9</v>
      </c>
    </row>
    <row r="760" spans="1:12">
      <c r="A760">
        <v>759</v>
      </c>
      <c r="B760" t="s">
        <v>1583</v>
      </c>
      <c r="C760" t="s">
        <v>1575</v>
      </c>
      <c r="D760" t="s">
        <v>49</v>
      </c>
      <c r="E760" s="3">
        <v>44770</v>
      </c>
      <c r="F760" s="3" t="str">
        <f t="shared" si="22"/>
        <v>28-Jul</v>
      </c>
      <c r="G760" s="3" t="str">
        <f t="shared" si="23"/>
        <v>Thursday</v>
      </c>
      <c r="H760" t="s">
        <v>24</v>
      </c>
      <c r="I760" t="s">
        <v>30</v>
      </c>
      <c r="J760" t="s">
        <v>1584</v>
      </c>
      <c r="K760" t="s">
        <v>32</v>
      </c>
      <c r="L760">
        <v>6</v>
      </c>
    </row>
    <row r="761" spans="1:12">
      <c r="A761">
        <v>760</v>
      </c>
      <c r="B761" t="s">
        <v>1585</v>
      </c>
      <c r="C761" t="s">
        <v>1577</v>
      </c>
      <c r="D761" t="s">
        <v>40</v>
      </c>
      <c r="E761" s="3">
        <v>44769</v>
      </c>
      <c r="F761" s="3" t="str">
        <f t="shared" si="22"/>
        <v>27-Jul</v>
      </c>
      <c r="G761" s="3" t="str">
        <f t="shared" si="23"/>
        <v>Wednesday</v>
      </c>
      <c r="H761" t="s">
        <v>18</v>
      </c>
      <c r="I761" t="s">
        <v>19</v>
      </c>
      <c r="J761" t="s">
        <v>1586</v>
      </c>
      <c r="K761" t="s">
        <v>21</v>
      </c>
      <c r="L761">
        <v>9</v>
      </c>
    </row>
    <row r="762" spans="1:12">
      <c r="A762">
        <v>761</v>
      </c>
      <c r="B762" t="s">
        <v>1587</v>
      </c>
      <c r="C762" t="s">
        <v>1579</v>
      </c>
      <c r="D762" t="s">
        <v>54</v>
      </c>
      <c r="E762" s="3">
        <v>44785</v>
      </c>
      <c r="F762" s="3" t="str">
        <f t="shared" si="22"/>
        <v>12-Aug</v>
      </c>
      <c r="G762" s="3" t="str">
        <f t="shared" si="23"/>
        <v>Friday</v>
      </c>
      <c r="H762" t="s">
        <v>24</v>
      </c>
      <c r="I762" t="s">
        <v>19</v>
      </c>
      <c r="J762" t="s">
        <v>1588</v>
      </c>
      <c r="K762" t="s">
        <v>26</v>
      </c>
      <c r="L762">
        <v>9</v>
      </c>
    </row>
    <row r="763" spans="1:12">
      <c r="A763">
        <v>762</v>
      </c>
      <c r="B763" t="s">
        <v>1589</v>
      </c>
      <c r="C763" t="s">
        <v>1581</v>
      </c>
      <c r="D763" t="s">
        <v>57</v>
      </c>
      <c r="E763" s="3">
        <v>44771</v>
      </c>
      <c r="F763" s="3" t="str">
        <f t="shared" si="22"/>
        <v>29-Jul</v>
      </c>
      <c r="G763" s="3" t="str">
        <f t="shared" si="23"/>
        <v>Friday</v>
      </c>
      <c r="H763" t="s">
        <v>29</v>
      </c>
      <c r="I763" t="s">
        <v>19</v>
      </c>
      <c r="J763" t="s">
        <v>1590</v>
      </c>
      <c r="K763" t="s">
        <v>32</v>
      </c>
      <c r="L763">
        <v>3</v>
      </c>
    </row>
    <row r="764" spans="1:12">
      <c r="A764">
        <v>763</v>
      </c>
      <c r="B764" t="s">
        <v>1591</v>
      </c>
      <c r="C764" t="s">
        <v>1583</v>
      </c>
      <c r="D764" t="s">
        <v>60</v>
      </c>
      <c r="E764" s="3">
        <v>44776</v>
      </c>
      <c r="F764" s="3" t="str">
        <f t="shared" si="22"/>
        <v>03-Aug</v>
      </c>
      <c r="G764" s="3" t="str">
        <f t="shared" si="23"/>
        <v>Wednesday</v>
      </c>
      <c r="H764" t="s">
        <v>18</v>
      </c>
      <c r="I764" t="s">
        <v>19</v>
      </c>
      <c r="J764" t="s">
        <v>1592</v>
      </c>
      <c r="K764" t="s">
        <v>21</v>
      </c>
      <c r="L764">
        <v>2</v>
      </c>
    </row>
    <row r="765" spans="1:12">
      <c r="A765">
        <v>764</v>
      </c>
      <c r="B765" t="s">
        <v>1593</v>
      </c>
      <c r="C765" t="s">
        <v>1585</v>
      </c>
      <c r="D765" t="s">
        <v>63</v>
      </c>
      <c r="E765" s="3">
        <v>44782</v>
      </c>
      <c r="F765" s="3" t="str">
        <f t="shared" si="22"/>
        <v>09-Aug</v>
      </c>
      <c r="G765" s="3" t="str">
        <f t="shared" si="23"/>
        <v>Tuesday</v>
      </c>
      <c r="H765" t="s">
        <v>24</v>
      </c>
      <c r="I765" t="s">
        <v>19</v>
      </c>
      <c r="J765" t="s">
        <v>1594</v>
      </c>
      <c r="K765" t="s">
        <v>26</v>
      </c>
      <c r="L765">
        <v>3</v>
      </c>
    </row>
    <row r="766" spans="1:12">
      <c r="A766">
        <v>765</v>
      </c>
      <c r="B766" t="s">
        <v>1595</v>
      </c>
      <c r="C766" t="s">
        <v>1587</v>
      </c>
      <c r="D766" t="s">
        <v>40</v>
      </c>
      <c r="E766" s="3">
        <v>44765</v>
      </c>
      <c r="F766" s="3" t="str">
        <f t="shared" si="22"/>
        <v>23-Jul</v>
      </c>
      <c r="G766" s="3" t="str">
        <f t="shared" si="23"/>
        <v>Saturday</v>
      </c>
      <c r="H766" t="s">
        <v>29</v>
      </c>
      <c r="I766" t="s">
        <v>30</v>
      </c>
      <c r="J766" t="s">
        <v>1596</v>
      </c>
      <c r="K766" t="s">
        <v>32</v>
      </c>
      <c r="L766">
        <v>10</v>
      </c>
    </row>
    <row r="767" spans="1:12">
      <c r="A767">
        <v>766</v>
      </c>
      <c r="B767" t="s">
        <v>1597</v>
      </c>
      <c r="C767" t="s">
        <v>1589</v>
      </c>
      <c r="D767" t="s">
        <v>68</v>
      </c>
      <c r="E767" s="3">
        <v>44778</v>
      </c>
      <c r="F767" s="3" t="str">
        <f t="shared" si="22"/>
        <v>05-Aug</v>
      </c>
      <c r="G767" s="3" t="str">
        <f t="shared" si="23"/>
        <v>Friday</v>
      </c>
      <c r="H767" t="s">
        <v>18</v>
      </c>
      <c r="I767" t="s">
        <v>19</v>
      </c>
      <c r="J767" t="s">
        <v>1598</v>
      </c>
      <c r="K767" t="s">
        <v>21</v>
      </c>
      <c r="L767">
        <v>3</v>
      </c>
    </row>
    <row r="768" spans="1:12">
      <c r="A768">
        <v>767</v>
      </c>
      <c r="B768" t="s">
        <v>1599</v>
      </c>
      <c r="C768" t="s">
        <v>1591</v>
      </c>
      <c r="D768" t="s">
        <v>57</v>
      </c>
      <c r="E768" s="3">
        <v>44774</v>
      </c>
      <c r="F768" s="3" t="str">
        <f t="shared" si="22"/>
        <v>01-Aug</v>
      </c>
      <c r="G768" s="3" t="str">
        <f t="shared" si="23"/>
        <v>Monday</v>
      </c>
      <c r="H768" t="s">
        <v>24</v>
      </c>
      <c r="I768" t="s">
        <v>19</v>
      </c>
      <c r="J768" t="s">
        <v>1600</v>
      </c>
      <c r="K768" t="s">
        <v>26</v>
      </c>
      <c r="L768">
        <v>1</v>
      </c>
    </row>
    <row r="769" spans="1:12">
      <c r="A769">
        <v>768</v>
      </c>
      <c r="B769" t="s">
        <v>1601</v>
      </c>
      <c r="C769" t="s">
        <v>1593</v>
      </c>
      <c r="D769" t="s">
        <v>37</v>
      </c>
      <c r="E769" s="3">
        <v>44803</v>
      </c>
      <c r="F769" s="3" t="str">
        <f t="shared" si="22"/>
        <v>30-Aug</v>
      </c>
      <c r="G769" s="3" t="str">
        <f t="shared" si="23"/>
        <v>Tuesday</v>
      </c>
      <c r="H769" t="s">
        <v>29</v>
      </c>
      <c r="I769" t="s">
        <v>19</v>
      </c>
      <c r="J769" t="s">
        <v>1602</v>
      </c>
      <c r="K769" t="s">
        <v>32</v>
      </c>
      <c r="L769">
        <v>5</v>
      </c>
    </row>
    <row r="770" spans="1:12">
      <c r="A770">
        <v>769</v>
      </c>
      <c r="B770" t="s">
        <v>1603</v>
      </c>
      <c r="C770" t="s">
        <v>1595</v>
      </c>
      <c r="D770" t="s">
        <v>75</v>
      </c>
      <c r="E770" s="3">
        <v>44782</v>
      </c>
      <c r="F770" s="3" t="str">
        <f t="shared" ref="F770:F795" si="24">TEXT(E770,"dd-mmm")</f>
        <v>09-Aug</v>
      </c>
      <c r="G770" s="3" t="str">
        <f t="shared" ref="G770:G795" si="25">TEXT(E770,"dddd")</f>
        <v>Tuesday</v>
      </c>
      <c r="H770" t="s">
        <v>18</v>
      </c>
      <c r="I770" t="s">
        <v>19</v>
      </c>
      <c r="J770" t="s">
        <v>1604</v>
      </c>
      <c r="K770" t="s">
        <v>21</v>
      </c>
      <c r="L770">
        <v>1</v>
      </c>
    </row>
    <row r="771" spans="1:12">
      <c r="A771">
        <v>770</v>
      </c>
      <c r="B771" t="s">
        <v>1605</v>
      </c>
      <c r="C771" t="s">
        <v>1597</v>
      </c>
      <c r="D771" t="s">
        <v>78</v>
      </c>
      <c r="E771" s="3">
        <v>44774</v>
      </c>
      <c r="F771" s="3" t="str">
        <f t="shared" si="24"/>
        <v>01-Aug</v>
      </c>
      <c r="G771" s="3" t="str">
        <f t="shared" si="25"/>
        <v>Monday</v>
      </c>
      <c r="H771" t="s">
        <v>24</v>
      </c>
      <c r="I771" t="s">
        <v>19</v>
      </c>
      <c r="J771" t="s">
        <v>1606</v>
      </c>
      <c r="K771" t="s">
        <v>26</v>
      </c>
      <c r="L771">
        <v>5</v>
      </c>
    </row>
    <row r="772" spans="1:12">
      <c r="A772">
        <v>771</v>
      </c>
      <c r="B772" t="s">
        <v>1607</v>
      </c>
      <c r="C772" t="s">
        <v>1599</v>
      </c>
      <c r="D772" t="s">
        <v>81</v>
      </c>
      <c r="E772" s="3">
        <v>44790</v>
      </c>
      <c r="F772" s="3" t="str">
        <f t="shared" si="24"/>
        <v>17-Aug</v>
      </c>
      <c r="G772" s="3" t="str">
        <f t="shared" si="25"/>
        <v>Wednesday</v>
      </c>
      <c r="H772" t="s">
        <v>24</v>
      </c>
      <c r="I772" t="s">
        <v>30</v>
      </c>
      <c r="J772" t="s">
        <v>1608</v>
      </c>
      <c r="K772" t="s">
        <v>32</v>
      </c>
      <c r="L772">
        <v>5</v>
      </c>
    </row>
    <row r="773" spans="1:12">
      <c r="A773">
        <v>772</v>
      </c>
      <c r="B773" t="s">
        <v>1609</v>
      </c>
      <c r="C773" t="s">
        <v>1601</v>
      </c>
      <c r="D773" t="s">
        <v>84</v>
      </c>
      <c r="E773" s="3">
        <v>44790</v>
      </c>
      <c r="F773" s="3" t="str">
        <f t="shared" si="24"/>
        <v>17-Aug</v>
      </c>
      <c r="G773" s="3" t="str">
        <f t="shared" si="25"/>
        <v>Wednesday</v>
      </c>
      <c r="H773" t="s">
        <v>18</v>
      </c>
      <c r="I773" t="s">
        <v>19</v>
      </c>
      <c r="J773" t="s">
        <v>1610</v>
      </c>
      <c r="K773" t="s">
        <v>21</v>
      </c>
      <c r="L773">
        <v>3</v>
      </c>
    </row>
    <row r="774" spans="1:12">
      <c r="A774">
        <v>773</v>
      </c>
      <c r="B774" t="s">
        <v>1611</v>
      </c>
      <c r="C774" t="s">
        <v>1603</v>
      </c>
      <c r="D774" t="s">
        <v>87</v>
      </c>
      <c r="E774" s="3">
        <v>44757</v>
      </c>
      <c r="F774" s="3" t="str">
        <f t="shared" si="24"/>
        <v>15-Jul</v>
      </c>
      <c r="G774" s="3" t="str">
        <f t="shared" si="25"/>
        <v>Friday</v>
      </c>
      <c r="H774" t="s">
        <v>24</v>
      </c>
      <c r="I774" t="s">
        <v>19</v>
      </c>
      <c r="J774" t="s">
        <v>1612</v>
      </c>
      <c r="K774" t="s">
        <v>26</v>
      </c>
      <c r="L774">
        <v>3</v>
      </c>
    </row>
    <row r="775" spans="1:12">
      <c r="A775">
        <v>774</v>
      </c>
      <c r="B775" t="s">
        <v>1613</v>
      </c>
      <c r="C775" t="s">
        <v>1605</v>
      </c>
      <c r="D775" t="s">
        <v>90</v>
      </c>
      <c r="E775" s="3">
        <v>44778</v>
      </c>
      <c r="F775" s="3" t="str">
        <f t="shared" si="24"/>
        <v>05-Aug</v>
      </c>
      <c r="G775" s="3" t="str">
        <f t="shared" si="25"/>
        <v>Friday</v>
      </c>
      <c r="H775" t="s">
        <v>29</v>
      </c>
      <c r="I775" t="s">
        <v>19</v>
      </c>
      <c r="J775" t="s">
        <v>1614</v>
      </c>
      <c r="K775" t="s">
        <v>32</v>
      </c>
      <c r="L775">
        <v>7</v>
      </c>
    </row>
    <row r="776" spans="1:12">
      <c r="A776">
        <v>775</v>
      </c>
      <c r="B776" t="s">
        <v>1615</v>
      </c>
      <c r="C776" t="s">
        <v>1607</v>
      </c>
      <c r="D776" t="s">
        <v>93</v>
      </c>
      <c r="E776" s="3">
        <v>44795</v>
      </c>
      <c r="F776" s="3" t="str">
        <f t="shared" si="24"/>
        <v>22-Aug</v>
      </c>
      <c r="G776" s="3" t="str">
        <f t="shared" si="25"/>
        <v>Monday</v>
      </c>
      <c r="H776" t="s">
        <v>18</v>
      </c>
      <c r="I776" t="s">
        <v>19</v>
      </c>
      <c r="J776" t="s">
        <v>1616</v>
      </c>
      <c r="K776" t="s">
        <v>21</v>
      </c>
      <c r="L776">
        <v>4</v>
      </c>
    </row>
    <row r="777" spans="1:12">
      <c r="A777">
        <v>776</v>
      </c>
      <c r="B777" t="s">
        <v>1617</v>
      </c>
      <c r="C777" t="s">
        <v>1609</v>
      </c>
      <c r="D777" t="s">
        <v>96</v>
      </c>
      <c r="E777" s="3">
        <v>44800</v>
      </c>
      <c r="F777" s="3" t="str">
        <f t="shared" si="24"/>
        <v>27-Aug</v>
      </c>
      <c r="G777" s="3" t="str">
        <f t="shared" si="25"/>
        <v>Saturday</v>
      </c>
      <c r="H777" t="s">
        <v>24</v>
      </c>
      <c r="I777" t="s">
        <v>19</v>
      </c>
      <c r="J777" t="s">
        <v>1618</v>
      </c>
      <c r="K777" t="s">
        <v>26</v>
      </c>
      <c r="L777">
        <v>3</v>
      </c>
    </row>
    <row r="778" spans="1:12">
      <c r="A778">
        <v>777</v>
      </c>
      <c r="B778" t="s">
        <v>1619</v>
      </c>
      <c r="C778" t="s">
        <v>1611</v>
      </c>
      <c r="D778" t="s">
        <v>99</v>
      </c>
      <c r="E778" s="3">
        <v>44783</v>
      </c>
      <c r="F778" s="3" t="str">
        <f t="shared" si="24"/>
        <v>10-Aug</v>
      </c>
      <c r="G778" s="3" t="str">
        <f t="shared" si="25"/>
        <v>Wednesday</v>
      </c>
      <c r="H778" t="s">
        <v>29</v>
      </c>
      <c r="I778" t="s">
        <v>30</v>
      </c>
      <c r="J778" t="s">
        <v>1620</v>
      </c>
      <c r="K778" t="s">
        <v>32</v>
      </c>
      <c r="L778">
        <v>8</v>
      </c>
    </row>
    <row r="779" spans="1:12">
      <c r="A779">
        <v>778</v>
      </c>
      <c r="B779" t="s">
        <v>1621</v>
      </c>
      <c r="C779" t="s">
        <v>1613</v>
      </c>
      <c r="D779" t="s">
        <v>103</v>
      </c>
      <c r="E779" s="3">
        <v>44770</v>
      </c>
      <c r="F779" s="3" t="str">
        <f t="shared" si="24"/>
        <v>28-Jul</v>
      </c>
      <c r="G779" s="3" t="str">
        <f t="shared" si="25"/>
        <v>Thursday</v>
      </c>
      <c r="H779" t="s">
        <v>18</v>
      </c>
      <c r="I779" t="s">
        <v>19</v>
      </c>
      <c r="J779" t="s">
        <v>1622</v>
      </c>
      <c r="K779" t="s">
        <v>21</v>
      </c>
      <c r="L779">
        <v>2</v>
      </c>
    </row>
    <row r="780" spans="1:12">
      <c r="A780">
        <v>779</v>
      </c>
      <c r="B780" t="s">
        <v>1623</v>
      </c>
      <c r="C780" t="s">
        <v>1615</v>
      </c>
      <c r="D780" t="s">
        <v>106</v>
      </c>
      <c r="E780" s="3">
        <v>44764</v>
      </c>
      <c r="F780" s="3" t="str">
        <f t="shared" si="24"/>
        <v>22-Jul</v>
      </c>
      <c r="G780" s="3" t="str">
        <f t="shared" si="25"/>
        <v>Friday</v>
      </c>
      <c r="H780" t="s">
        <v>24</v>
      </c>
      <c r="I780" t="s">
        <v>19</v>
      </c>
      <c r="J780" t="s">
        <v>1624</v>
      </c>
      <c r="K780" t="s">
        <v>26</v>
      </c>
      <c r="L780">
        <v>9</v>
      </c>
    </row>
    <row r="781" spans="1:12">
      <c r="A781">
        <v>780</v>
      </c>
      <c r="B781" t="s">
        <v>1625</v>
      </c>
      <c r="C781" t="s">
        <v>1617</v>
      </c>
      <c r="D781" t="s">
        <v>109</v>
      </c>
      <c r="E781" s="3">
        <v>44810</v>
      </c>
      <c r="F781" s="3" t="str">
        <f t="shared" si="24"/>
        <v>06-Sep</v>
      </c>
      <c r="G781" s="3" t="str">
        <f t="shared" si="25"/>
        <v>Tuesday</v>
      </c>
      <c r="H781" t="s">
        <v>29</v>
      </c>
      <c r="I781" t="s">
        <v>19</v>
      </c>
      <c r="J781" t="s">
        <v>1626</v>
      </c>
      <c r="K781" t="s">
        <v>32</v>
      </c>
      <c r="L781">
        <v>6</v>
      </c>
    </row>
    <row r="782" spans="1:12">
      <c r="A782">
        <v>781</v>
      </c>
      <c r="B782" t="s">
        <v>1627</v>
      </c>
      <c r="C782" t="s">
        <v>1619</v>
      </c>
      <c r="D782" t="s">
        <v>112</v>
      </c>
      <c r="E782" s="3">
        <v>44793</v>
      </c>
      <c r="F782" s="3" t="str">
        <f t="shared" si="24"/>
        <v>20-Aug</v>
      </c>
      <c r="G782" s="3" t="str">
        <f t="shared" si="25"/>
        <v>Saturday</v>
      </c>
      <c r="H782" t="s">
        <v>18</v>
      </c>
      <c r="I782" t="s">
        <v>19</v>
      </c>
      <c r="J782" t="s">
        <v>1628</v>
      </c>
      <c r="K782" t="s">
        <v>21</v>
      </c>
      <c r="L782">
        <v>7</v>
      </c>
    </row>
    <row r="783" spans="1:12">
      <c r="A783">
        <v>782</v>
      </c>
      <c r="B783" t="s">
        <v>1629</v>
      </c>
      <c r="C783" t="s">
        <v>1621</v>
      </c>
      <c r="D783" t="s">
        <v>115</v>
      </c>
      <c r="E783" s="3">
        <v>44787</v>
      </c>
      <c r="F783" s="3" t="str">
        <f t="shared" si="24"/>
        <v>14-Aug</v>
      </c>
      <c r="G783" s="3" t="str">
        <f t="shared" si="25"/>
        <v>Sunday</v>
      </c>
      <c r="H783" t="s">
        <v>24</v>
      </c>
      <c r="I783" t="s">
        <v>19</v>
      </c>
      <c r="J783" t="s">
        <v>1630</v>
      </c>
      <c r="K783" t="s">
        <v>26</v>
      </c>
      <c r="L783">
        <v>9</v>
      </c>
    </row>
    <row r="784" spans="1:12">
      <c r="A784">
        <v>783</v>
      </c>
      <c r="B784" t="s">
        <v>1631</v>
      </c>
      <c r="C784" t="s">
        <v>1623</v>
      </c>
      <c r="D784" t="s">
        <v>63</v>
      </c>
      <c r="E784" s="3">
        <v>44774</v>
      </c>
      <c r="F784" s="3" t="str">
        <f t="shared" si="24"/>
        <v>01-Aug</v>
      </c>
      <c r="G784" s="3" t="str">
        <f t="shared" si="25"/>
        <v>Monday</v>
      </c>
      <c r="H784" t="s">
        <v>24</v>
      </c>
      <c r="I784" t="s">
        <v>30</v>
      </c>
      <c r="J784" t="s">
        <v>1632</v>
      </c>
      <c r="K784" t="s">
        <v>32</v>
      </c>
      <c r="L784">
        <v>2</v>
      </c>
    </row>
    <row r="785" spans="1:12">
      <c r="A785">
        <v>784</v>
      </c>
      <c r="B785" t="s">
        <v>1633</v>
      </c>
      <c r="C785" t="s">
        <v>1625</v>
      </c>
      <c r="D785" t="s">
        <v>87</v>
      </c>
      <c r="E785" s="3">
        <v>44756</v>
      </c>
      <c r="F785" s="3" t="str">
        <f t="shared" si="24"/>
        <v>14-Jul</v>
      </c>
      <c r="G785" s="3" t="str">
        <f t="shared" si="25"/>
        <v>Thursday</v>
      </c>
      <c r="H785" t="s">
        <v>18</v>
      </c>
      <c r="I785" t="s">
        <v>19</v>
      </c>
      <c r="J785" t="s">
        <v>1634</v>
      </c>
      <c r="K785" t="s">
        <v>21</v>
      </c>
      <c r="L785">
        <v>9</v>
      </c>
    </row>
    <row r="786" spans="1:12">
      <c r="A786">
        <v>785</v>
      </c>
      <c r="B786" t="s">
        <v>1635</v>
      </c>
      <c r="C786" t="s">
        <v>1627</v>
      </c>
      <c r="D786" t="s">
        <v>103</v>
      </c>
      <c r="E786" s="3">
        <v>44810</v>
      </c>
      <c r="F786" s="3" t="str">
        <f t="shared" si="24"/>
        <v>06-Sep</v>
      </c>
      <c r="G786" s="3" t="str">
        <f t="shared" si="25"/>
        <v>Tuesday</v>
      </c>
      <c r="H786" t="s">
        <v>24</v>
      </c>
      <c r="I786" t="s">
        <v>19</v>
      </c>
      <c r="J786" t="s">
        <v>1636</v>
      </c>
      <c r="K786" t="s">
        <v>26</v>
      </c>
      <c r="L786">
        <v>10</v>
      </c>
    </row>
    <row r="787" spans="1:12">
      <c r="A787">
        <v>786</v>
      </c>
      <c r="B787" t="s">
        <v>1637</v>
      </c>
      <c r="C787" t="s">
        <v>1629</v>
      </c>
      <c r="D787" t="s">
        <v>37</v>
      </c>
      <c r="E787" s="3">
        <v>44774</v>
      </c>
      <c r="F787" s="3" t="str">
        <f t="shared" si="24"/>
        <v>01-Aug</v>
      </c>
      <c r="G787" s="3" t="str">
        <f t="shared" si="25"/>
        <v>Monday</v>
      </c>
      <c r="H787" t="s">
        <v>29</v>
      </c>
      <c r="I787" t="s">
        <v>19</v>
      </c>
      <c r="J787" t="s">
        <v>1638</v>
      </c>
      <c r="K787" t="s">
        <v>32</v>
      </c>
      <c r="L787">
        <v>1</v>
      </c>
    </row>
    <row r="788" spans="1:12">
      <c r="A788">
        <v>787</v>
      </c>
      <c r="B788" t="s">
        <v>1639</v>
      </c>
      <c r="C788" t="s">
        <v>1631</v>
      </c>
      <c r="D788" t="s">
        <v>68</v>
      </c>
      <c r="E788" s="3">
        <v>44804</v>
      </c>
      <c r="F788" s="3" t="str">
        <f t="shared" si="24"/>
        <v>31-Aug</v>
      </c>
      <c r="G788" s="3" t="str">
        <f t="shared" si="25"/>
        <v>Wednesday</v>
      </c>
      <c r="H788" t="s">
        <v>18</v>
      </c>
      <c r="I788" t="s">
        <v>19</v>
      </c>
      <c r="J788" t="s">
        <v>1640</v>
      </c>
      <c r="K788" t="s">
        <v>21</v>
      </c>
      <c r="L788">
        <v>1</v>
      </c>
    </row>
    <row r="789" spans="1:12">
      <c r="A789">
        <v>788</v>
      </c>
      <c r="B789" t="s">
        <v>1641</v>
      </c>
      <c r="C789" t="s">
        <v>1633</v>
      </c>
      <c r="D789" t="s">
        <v>109</v>
      </c>
      <c r="E789" s="3">
        <v>44803</v>
      </c>
      <c r="F789" s="3" t="str">
        <f t="shared" si="24"/>
        <v>30-Aug</v>
      </c>
      <c r="G789" s="3" t="str">
        <f t="shared" si="25"/>
        <v>Tuesday</v>
      </c>
      <c r="H789" t="s">
        <v>24</v>
      </c>
      <c r="I789" t="s">
        <v>19</v>
      </c>
      <c r="J789" t="s">
        <v>1642</v>
      </c>
      <c r="K789" t="s">
        <v>26</v>
      </c>
      <c r="L789">
        <v>10</v>
      </c>
    </row>
    <row r="790" spans="1:12">
      <c r="A790">
        <v>789</v>
      </c>
      <c r="B790" t="s">
        <v>1643</v>
      </c>
      <c r="C790" t="s">
        <v>1635</v>
      </c>
      <c r="D790" t="s">
        <v>112</v>
      </c>
      <c r="E790" s="3">
        <v>44808</v>
      </c>
      <c r="F790" s="3" t="str">
        <f t="shared" si="24"/>
        <v>04-Sep</v>
      </c>
      <c r="G790" s="3" t="str">
        <f t="shared" si="25"/>
        <v>Sunday</v>
      </c>
      <c r="H790" t="s">
        <v>24</v>
      </c>
      <c r="I790" t="s">
        <v>30</v>
      </c>
      <c r="J790" t="s">
        <v>1644</v>
      </c>
      <c r="K790" t="s">
        <v>32</v>
      </c>
      <c r="L790">
        <v>4</v>
      </c>
    </row>
    <row r="791" spans="1:12">
      <c r="A791">
        <v>790</v>
      </c>
      <c r="B791" t="s">
        <v>1645</v>
      </c>
      <c r="C791" t="s">
        <v>1637</v>
      </c>
      <c r="D791" t="s">
        <v>134</v>
      </c>
      <c r="E791" s="3">
        <v>44786</v>
      </c>
      <c r="F791" s="3" t="str">
        <f t="shared" si="24"/>
        <v>13-Aug</v>
      </c>
      <c r="G791" s="3" t="str">
        <f t="shared" si="25"/>
        <v>Saturday</v>
      </c>
      <c r="H791" t="s">
        <v>18</v>
      </c>
      <c r="I791" t="s">
        <v>19</v>
      </c>
      <c r="J791" t="s">
        <v>1646</v>
      </c>
      <c r="K791" t="s">
        <v>21</v>
      </c>
      <c r="L791">
        <v>7</v>
      </c>
    </row>
    <row r="792" spans="1:12">
      <c r="A792">
        <v>791</v>
      </c>
      <c r="B792" t="s">
        <v>1647</v>
      </c>
      <c r="C792" t="s">
        <v>1639</v>
      </c>
      <c r="D792" t="s">
        <v>54</v>
      </c>
      <c r="E792" s="3">
        <v>44788</v>
      </c>
      <c r="F792" s="3" t="str">
        <f t="shared" si="24"/>
        <v>15-Aug</v>
      </c>
      <c r="G792" s="3" t="str">
        <f t="shared" si="25"/>
        <v>Monday</v>
      </c>
      <c r="H792" t="s">
        <v>24</v>
      </c>
      <c r="I792" t="s">
        <v>19</v>
      </c>
      <c r="J792" t="s">
        <v>1648</v>
      </c>
      <c r="K792" t="s">
        <v>26</v>
      </c>
      <c r="L792">
        <v>3</v>
      </c>
    </row>
    <row r="793" spans="1:12">
      <c r="A793">
        <v>792</v>
      </c>
      <c r="B793" t="s">
        <v>1649</v>
      </c>
      <c r="C793" t="s">
        <v>1641</v>
      </c>
      <c r="D793" t="s">
        <v>139</v>
      </c>
      <c r="E793" s="3">
        <v>44772</v>
      </c>
      <c r="F793" s="3" t="str">
        <f t="shared" si="24"/>
        <v>30-Jul</v>
      </c>
      <c r="G793" s="3" t="str">
        <f t="shared" si="25"/>
        <v>Saturday</v>
      </c>
      <c r="H793" t="s">
        <v>29</v>
      </c>
      <c r="I793" t="s">
        <v>19</v>
      </c>
      <c r="J793" t="s">
        <v>1650</v>
      </c>
      <c r="K793" t="s">
        <v>32</v>
      </c>
      <c r="L793">
        <v>6</v>
      </c>
    </row>
    <row r="794" spans="1:12">
      <c r="A794">
        <v>793</v>
      </c>
      <c r="B794" t="s">
        <v>1651</v>
      </c>
      <c r="C794" t="s">
        <v>1643</v>
      </c>
      <c r="D794" t="s">
        <v>142</v>
      </c>
      <c r="E794" s="3">
        <v>44756</v>
      </c>
      <c r="F794" s="3" t="str">
        <f t="shared" si="24"/>
        <v>14-Jul</v>
      </c>
      <c r="G794" s="3" t="str">
        <f t="shared" si="25"/>
        <v>Thursday</v>
      </c>
      <c r="H794" t="s">
        <v>18</v>
      </c>
      <c r="I794" t="s">
        <v>19</v>
      </c>
      <c r="J794" t="s">
        <v>1652</v>
      </c>
      <c r="K794" t="s">
        <v>21</v>
      </c>
      <c r="L794">
        <v>6</v>
      </c>
    </row>
    <row r="795" spans="1:12">
      <c r="A795">
        <v>794</v>
      </c>
      <c r="B795" t="s">
        <v>1653</v>
      </c>
      <c r="C795" t="s">
        <v>1645</v>
      </c>
      <c r="D795" t="s">
        <v>145</v>
      </c>
      <c r="E795" s="3">
        <v>44808</v>
      </c>
      <c r="F795" s="3" t="str">
        <f t="shared" si="24"/>
        <v>04-Sep</v>
      </c>
      <c r="G795" s="3" t="str">
        <f t="shared" si="25"/>
        <v>Sunday</v>
      </c>
      <c r="H795" t="s">
        <v>24</v>
      </c>
      <c r="I795" t="s">
        <v>19</v>
      </c>
      <c r="J795" t="s">
        <v>1654</v>
      </c>
      <c r="K795" t="s">
        <v>26</v>
      </c>
      <c r="L795">
        <v>5</v>
      </c>
    </row>
  </sheetData>
  <sortState xmlns:xlrd2="http://schemas.microsoft.com/office/spreadsheetml/2017/richdata2" ref="A2:L51">
    <sortCondition ref="A2:A51"/>
  </sortState>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5"/>
  <sheetViews>
    <sheetView zoomScale="110" zoomScaleNormal="110" workbookViewId="0">
      <selection activeCell="H20" sqref="H20"/>
    </sheetView>
  </sheetViews>
  <sheetFormatPr defaultColWidth="7.36328125" defaultRowHeight="13.8"/>
  <cols>
    <col min="1" max="1" width="8.90625" customWidth="1"/>
    <col min="2" max="2" width="9.453125" customWidth="1"/>
    <col min="3" max="3" width="8.90625" customWidth="1"/>
    <col min="4" max="4" width="13.453125" customWidth="1"/>
    <col min="5" max="5" width="14.453125" customWidth="1"/>
  </cols>
  <sheetData>
    <row r="1" spans="1:6">
      <c r="A1" t="s">
        <v>6</v>
      </c>
      <c r="B1" t="s">
        <v>1655</v>
      </c>
      <c r="C1" t="s">
        <v>1656</v>
      </c>
      <c r="D1" t="s">
        <v>1657</v>
      </c>
      <c r="E1" t="s">
        <v>1658</v>
      </c>
      <c r="F1" t="s">
        <v>1659</v>
      </c>
    </row>
    <row r="2" spans="1:6">
      <c r="A2" t="s">
        <v>16</v>
      </c>
      <c r="B2" t="s">
        <v>1660</v>
      </c>
      <c r="C2" s="2">
        <v>44739</v>
      </c>
      <c r="D2">
        <v>597</v>
      </c>
      <c r="E2">
        <v>8.1999999999999993</v>
      </c>
      <c r="F2" t="s">
        <v>1661</v>
      </c>
    </row>
    <row r="3" spans="1:6">
      <c r="A3" t="s">
        <v>22</v>
      </c>
      <c r="B3" t="s">
        <v>1662</v>
      </c>
      <c r="C3" s="2">
        <v>44740</v>
      </c>
      <c r="D3">
        <v>462</v>
      </c>
      <c r="E3">
        <v>10.210000000000001</v>
      </c>
      <c r="F3" t="s">
        <v>1663</v>
      </c>
    </row>
    <row r="4" spans="1:6">
      <c r="A4" t="s">
        <v>27</v>
      </c>
      <c r="B4" t="s">
        <v>1664</v>
      </c>
      <c r="C4" s="2">
        <v>44734</v>
      </c>
      <c r="D4">
        <v>766</v>
      </c>
      <c r="E4">
        <v>711.18</v>
      </c>
      <c r="F4" t="s">
        <v>1665</v>
      </c>
    </row>
    <row r="5" spans="1:6">
      <c r="A5" t="s">
        <v>33</v>
      </c>
      <c r="B5" t="s">
        <v>1666</v>
      </c>
      <c r="C5" s="2">
        <v>44737</v>
      </c>
      <c r="D5">
        <v>631</v>
      </c>
      <c r="E5">
        <v>132.44999999999999</v>
      </c>
      <c r="F5" t="s">
        <v>1667</v>
      </c>
    </row>
    <row r="6" spans="1:6">
      <c r="A6" t="s">
        <v>36</v>
      </c>
      <c r="B6" t="s">
        <v>1660</v>
      </c>
      <c r="C6" s="2">
        <v>44735</v>
      </c>
      <c r="D6">
        <v>318</v>
      </c>
      <c r="E6">
        <v>58.63</v>
      </c>
      <c r="F6" t="s">
        <v>1661</v>
      </c>
    </row>
    <row r="7" spans="1:6">
      <c r="A7" t="s">
        <v>39</v>
      </c>
      <c r="B7" t="s">
        <v>1662</v>
      </c>
      <c r="C7" s="2">
        <v>44727</v>
      </c>
      <c r="D7">
        <v>543</v>
      </c>
      <c r="E7">
        <v>60.52</v>
      </c>
      <c r="F7" t="s">
        <v>1663</v>
      </c>
    </row>
    <row r="8" spans="1:6">
      <c r="A8" t="s">
        <v>42</v>
      </c>
      <c r="B8" t="s">
        <v>1664</v>
      </c>
      <c r="C8" s="2">
        <v>44740</v>
      </c>
      <c r="D8">
        <v>828</v>
      </c>
      <c r="E8">
        <v>466.06</v>
      </c>
      <c r="F8" t="s">
        <v>1665</v>
      </c>
    </row>
    <row r="9" spans="1:6">
      <c r="A9" t="s">
        <v>45</v>
      </c>
      <c r="B9" t="s">
        <v>1666</v>
      </c>
      <c r="C9" s="2">
        <v>44725</v>
      </c>
      <c r="D9">
        <v>824</v>
      </c>
      <c r="E9">
        <v>25.87</v>
      </c>
      <c r="F9" t="s">
        <v>1667</v>
      </c>
    </row>
    <row r="10" spans="1:6">
      <c r="A10" t="s">
        <v>48</v>
      </c>
      <c r="B10" t="s">
        <v>1668</v>
      </c>
      <c r="C10" s="2">
        <v>44736</v>
      </c>
      <c r="D10">
        <v>430</v>
      </c>
      <c r="E10">
        <v>102.34</v>
      </c>
      <c r="F10" t="s">
        <v>1661</v>
      </c>
    </row>
    <row r="11" spans="1:6">
      <c r="A11" t="s">
        <v>51</v>
      </c>
      <c r="B11" t="s">
        <v>1660</v>
      </c>
      <c r="C11" s="2">
        <v>44725</v>
      </c>
      <c r="D11">
        <v>668</v>
      </c>
      <c r="E11">
        <v>131.68</v>
      </c>
      <c r="F11" t="s">
        <v>1663</v>
      </c>
    </row>
    <row r="12" spans="1:6">
      <c r="A12" t="s">
        <v>53</v>
      </c>
      <c r="B12" t="s">
        <v>1662</v>
      </c>
      <c r="C12" s="2">
        <v>44734</v>
      </c>
      <c r="D12">
        <v>255</v>
      </c>
      <c r="E12">
        <v>17.420000000000002</v>
      </c>
      <c r="F12" t="s">
        <v>1665</v>
      </c>
    </row>
    <row r="13" spans="1:6">
      <c r="A13" t="s">
        <v>56</v>
      </c>
      <c r="B13" t="s">
        <v>1664</v>
      </c>
      <c r="C13" s="2">
        <v>44731</v>
      </c>
      <c r="D13">
        <v>638</v>
      </c>
      <c r="E13">
        <v>10.74</v>
      </c>
      <c r="F13" t="s">
        <v>1667</v>
      </c>
    </row>
    <row r="14" spans="1:6">
      <c r="A14" t="s">
        <v>59</v>
      </c>
      <c r="B14" t="s">
        <v>1666</v>
      </c>
      <c r="C14" s="2">
        <v>44730</v>
      </c>
      <c r="D14">
        <v>614</v>
      </c>
      <c r="E14">
        <v>163.71</v>
      </c>
      <c r="F14" t="s">
        <v>1661</v>
      </c>
    </row>
    <row r="15" spans="1:6">
      <c r="A15" t="s">
        <v>62</v>
      </c>
      <c r="B15" t="s">
        <v>1660</v>
      </c>
      <c r="C15" s="2">
        <v>44735</v>
      </c>
      <c r="D15">
        <v>867</v>
      </c>
      <c r="E15">
        <v>184.25</v>
      </c>
      <c r="F15" t="s">
        <v>1663</v>
      </c>
    </row>
    <row r="16" spans="1:6">
      <c r="A16" t="s">
        <v>65</v>
      </c>
      <c r="B16" t="s">
        <v>1662</v>
      </c>
      <c r="C16" s="2">
        <v>44738</v>
      </c>
      <c r="D16">
        <v>253</v>
      </c>
      <c r="E16">
        <v>27.82</v>
      </c>
      <c r="F16" t="s">
        <v>1665</v>
      </c>
    </row>
    <row r="17" spans="1:6">
      <c r="A17" t="s">
        <v>67</v>
      </c>
      <c r="B17" t="s">
        <v>1664</v>
      </c>
      <c r="C17" s="2">
        <v>44738</v>
      </c>
      <c r="D17">
        <v>671</v>
      </c>
      <c r="E17">
        <v>359.71</v>
      </c>
      <c r="F17" t="s">
        <v>1667</v>
      </c>
    </row>
    <row r="18" spans="1:6">
      <c r="A18" t="s">
        <v>70</v>
      </c>
      <c r="B18" t="s">
        <v>1666</v>
      </c>
      <c r="C18" s="2">
        <v>44725</v>
      </c>
      <c r="D18">
        <v>641</v>
      </c>
      <c r="E18">
        <v>359.71</v>
      </c>
      <c r="F18" t="s">
        <v>1661</v>
      </c>
    </row>
    <row r="19" spans="1:6">
      <c r="A19" t="s">
        <v>72</v>
      </c>
      <c r="B19" t="s">
        <v>1668</v>
      </c>
      <c r="C19" s="2">
        <v>44730</v>
      </c>
      <c r="D19">
        <v>796</v>
      </c>
      <c r="E19">
        <v>19.86</v>
      </c>
      <c r="F19" t="s">
        <v>1663</v>
      </c>
    </row>
    <row r="20" spans="1:6">
      <c r="A20" t="s">
        <v>74</v>
      </c>
      <c r="B20" t="s">
        <v>1669</v>
      </c>
      <c r="C20" s="2">
        <v>44738</v>
      </c>
      <c r="D20">
        <v>480</v>
      </c>
      <c r="E20">
        <v>4.8600000000000003</v>
      </c>
      <c r="F20" t="s">
        <v>1665</v>
      </c>
    </row>
    <row r="21" spans="1:6">
      <c r="A21" t="s">
        <v>77</v>
      </c>
      <c r="B21" t="s">
        <v>1660</v>
      </c>
      <c r="C21" s="2">
        <v>44730</v>
      </c>
      <c r="D21">
        <v>352</v>
      </c>
      <c r="E21">
        <v>46.08</v>
      </c>
      <c r="F21" t="s">
        <v>1667</v>
      </c>
    </row>
    <row r="22" spans="1:6">
      <c r="A22" t="s">
        <v>80</v>
      </c>
      <c r="B22" t="s">
        <v>1662</v>
      </c>
      <c r="C22" s="2">
        <v>44738</v>
      </c>
      <c r="D22">
        <v>289</v>
      </c>
      <c r="E22">
        <v>19.36</v>
      </c>
      <c r="F22" t="s">
        <v>1661</v>
      </c>
    </row>
    <row r="23" spans="1:6">
      <c r="A23" t="s">
        <v>83</v>
      </c>
      <c r="B23" t="s">
        <v>1664</v>
      </c>
      <c r="C23" s="2">
        <v>44734</v>
      </c>
      <c r="D23">
        <v>702</v>
      </c>
      <c r="E23">
        <v>255.19</v>
      </c>
      <c r="F23" t="s">
        <v>1663</v>
      </c>
    </row>
    <row r="24" spans="1:6">
      <c r="A24" t="s">
        <v>86</v>
      </c>
      <c r="B24" t="s">
        <v>1666</v>
      </c>
      <c r="C24" s="2">
        <v>44729</v>
      </c>
      <c r="D24">
        <v>783</v>
      </c>
      <c r="E24">
        <v>241.49</v>
      </c>
      <c r="F24" t="s">
        <v>1665</v>
      </c>
    </row>
    <row r="25" spans="1:6">
      <c r="A25" t="s">
        <v>89</v>
      </c>
      <c r="B25" t="s">
        <v>1660</v>
      </c>
      <c r="C25" s="2">
        <v>44730</v>
      </c>
      <c r="D25">
        <v>541</v>
      </c>
      <c r="E25">
        <v>115.17</v>
      </c>
      <c r="F25" t="s">
        <v>1667</v>
      </c>
    </row>
    <row r="26" spans="1:6">
      <c r="A26" t="s">
        <v>92</v>
      </c>
      <c r="B26" t="s">
        <v>1662</v>
      </c>
      <c r="C26" s="2">
        <v>44728</v>
      </c>
      <c r="D26">
        <v>326</v>
      </c>
      <c r="E26">
        <v>36.020000000000003</v>
      </c>
      <c r="F26" t="s">
        <v>1661</v>
      </c>
    </row>
    <row r="27" spans="1:6">
      <c r="A27" t="s">
        <v>95</v>
      </c>
      <c r="B27" t="s">
        <v>1664</v>
      </c>
      <c r="C27" s="2">
        <v>44735</v>
      </c>
      <c r="D27">
        <v>592</v>
      </c>
      <c r="E27">
        <v>28.89</v>
      </c>
      <c r="F27" t="s">
        <v>1663</v>
      </c>
    </row>
    <row r="28" spans="1:6">
      <c r="A28" t="s">
        <v>98</v>
      </c>
      <c r="B28" t="s">
        <v>1666</v>
      </c>
      <c r="C28" s="2">
        <v>44738</v>
      </c>
      <c r="D28">
        <v>362</v>
      </c>
      <c r="E28">
        <v>100.93</v>
      </c>
      <c r="F28" t="s">
        <v>1665</v>
      </c>
    </row>
    <row r="29" spans="1:6">
      <c r="A29" t="s">
        <v>101</v>
      </c>
      <c r="B29" t="s">
        <v>1668</v>
      </c>
      <c r="C29" s="2">
        <v>44738</v>
      </c>
      <c r="D29">
        <v>839</v>
      </c>
      <c r="E29">
        <v>63.81</v>
      </c>
      <c r="F29" t="s">
        <v>1667</v>
      </c>
    </row>
    <row r="30" spans="1:6">
      <c r="A30" t="s">
        <v>105</v>
      </c>
      <c r="B30" t="s">
        <v>1660</v>
      </c>
      <c r="C30" s="2">
        <v>44734</v>
      </c>
      <c r="D30">
        <v>847</v>
      </c>
      <c r="E30">
        <v>102.12</v>
      </c>
      <c r="F30" t="s">
        <v>1661</v>
      </c>
    </row>
    <row r="31" spans="1:6">
      <c r="A31" t="s">
        <v>108</v>
      </c>
      <c r="B31" t="s">
        <v>1662</v>
      </c>
      <c r="C31" s="2">
        <v>44727</v>
      </c>
      <c r="D31">
        <v>295</v>
      </c>
      <c r="E31">
        <v>89.34</v>
      </c>
      <c r="F31" t="s">
        <v>1663</v>
      </c>
    </row>
    <row r="32" spans="1:6">
      <c r="A32" t="s">
        <v>111</v>
      </c>
      <c r="B32" t="s">
        <v>1664</v>
      </c>
      <c r="C32" s="2">
        <v>44729</v>
      </c>
      <c r="D32">
        <v>337</v>
      </c>
      <c r="E32">
        <v>139.53</v>
      </c>
      <c r="F32" t="s">
        <v>1665</v>
      </c>
    </row>
    <row r="33" spans="1:6">
      <c r="A33" t="s">
        <v>114</v>
      </c>
      <c r="B33" t="s">
        <v>1666</v>
      </c>
      <c r="C33" s="2">
        <v>44726</v>
      </c>
      <c r="D33">
        <v>550</v>
      </c>
      <c r="E33">
        <v>3.39</v>
      </c>
      <c r="F33" t="s">
        <v>1667</v>
      </c>
    </row>
    <row r="34" spans="1:6">
      <c r="A34" t="s">
        <v>117</v>
      </c>
      <c r="B34" t="s">
        <v>1660</v>
      </c>
      <c r="C34" s="2">
        <v>44733</v>
      </c>
      <c r="D34">
        <v>591</v>
      </c>
      <c r="E34">
        <v>62.04</v>
      </c>
      <c r="F34" t="s">
        <v>1661</v>
      </c>
    </row>
    <row r="35" spans="1:6">
      <c r="A35" t="s">
        <v>119</v>
      </c>
      <c r="B35" t="s">
        <v>1662</v>
      </c>
      <c r="C35" s="2">
        <v>44730</v>
      </c>
      <c r="D35">
        <v>788</v>
      </c>
      <c r="E35">
        <v>231.5</v>
      </c>
      <c r="F35" t="s">
        <v>1663</v>
      </c>
    </row>
    <row r="36" spans="1:6">
      <c r="A36" t="s">
        <v>122</v>
      </c>
      <c r="B36" t="s">
        <v>1664</v>
      </c>
      <c r="C36" s="2">
        <v>44736</v>
      </c>
      <c r="D36">
        <v>695</v>
      </c>
      <c r="E36">
        <v>393.1</v>
      </c>
      <c r="F36" t="s">
        <v>1665</v>
      </c>
    </row>
    <row r="37" spans="1:6">
      <c r="A37" t="s">
        <v>124</v>
      </c>
      <c r="B37" t="s">
        <v>1666</v>
      </c>
      <c r="C37" s="2">
        <v>44732</v>
      </c>
      <c r="D37">
        <v>395</v>
      </c>
      <c r="E37">
        <v>56.02</v>
      </c>
      <c r="F37" t="s">
        <v>1667</v>
      </c>
    </row>
    <row r="38" spans="1:6">
      <c r="A38" t="s">
        <v>126</v>
      </c>
      <c r="B38" t="s">
        <v>1668</v>
      </c>
      <c r="C38" s="2">
        <v>44732</v>
      </c>
      <c r="D38">
        <v>655</v>
      </c>
      <c r="E38">
        <v>129.22</v>
      </c>
      <c r="F38" t="s">
        <v>1661</v>
      </c>
    </row>
    <row r="39" spans="1:6">
      <c r="A39" t="s">
        <v>128</v>
      </c>
      <c r="B39" t="s">
        <v>1669</v>
      </c>
      <c r="C39" s="2">
        <v>44731</v>
      </c>
      <c r="D39">
        <v>725</v>
      </c>
      <c r="E39">
        <v>116.2</v>
      </c>
      <c r="F39" t="s">
        <v>1663</v>
      </c>
    </row>
    <row r="40" spans="1:6">
      <c r="A40" t="s">
        <v>130</v>
      </c>
      <c r="B40" t="s">
        <v>1660</v>
      </c>
      <c r="C40" s="2">
        <v>44735</v>
      </c>
      <c r="D40">
        <v>358</v>
      </c>
      <c r="E40">
        <v>13.16</v>
      </c>
      <c r="F40" t="s">
        <v>1665</v>
      </c>
    </row>
    <row r="41" spans="1:6">
      <c r="A41" t="s">
        <v>133</v>
      </c>
      <c r="B41" t="s">
        <v>1662</v>
      </c>
      <c r="C41" s="2">
        <v>44728</v>
      </c>
      <c r="D41">
        <v>368</v>
      </c>
      <c r="E41">
        <v>44.34</v>
      </c>
      <c r="F41" t="s">
        <v>1667</v>
      </c>
    </row>
    <row r="42" spans="1:6">
      <c r="A42" t="s">
        <v>136</v>
      </c>
      <c r="B42" t="s">
        <v>1664</v>
      </c>
      <c r="C42" s="2">
        <v>44727</v>
      </c>
      <c r="D42">
        <v>359</v>
      </c>
      <c r="E42">
        <v>138.71</v>
      </c>
      <c r="F42" t="s">
        <v>1661</v>
      </c>
    </row>
    <row r="43" spans="1:6">
      <c r="A43" t="s">
        <v>138</v>
      </c>
      <c r="B43" t="s">
        <v>1666</v>
      </c>
      <c r="C43" s="2">
        <v>44731</v>
      </c>
      <c r="D43">
        <v>847</v>
      </c>
      <c r="E43">
        <v>212.7</v>
      </c>
      <c r="F43" t="s">
        <v>1663</v>
      </c>
    </row>
    <row r="44" spans="1:6">
      <c r="A44" t="s">
        <v>141</v>
      </c>
      <c r="B44" t="s">
        <v>1660</v>
      </c>
      <c r="C44" s="2">
        <v>44732</v>
      </c>
      <c r="D44">
        <v>497</v>
      </c>
      <c r="E44">
        <v>89.96</v>
      </c>
      <c r="F44" t="s">
        <v>1665</v>
      </c>
    </row>
    <row r="45" spans="1:6">
      <c r="A45" t="s">
        <v>144</v>
      </c>
      <c r="B45" t="s">
        <v>1662</v>
      </c>
      <c r="C45" s="2">
        <v>44738</v>
      </c>
      <c r="D45">
        <v>206</v>
      </c>
      <c r="E45">
        <v>35.770000000000003</v>
      </c>
      <c r="F45" t="s">
        <v>1667</v>
      </c>
    </row>
    <row r="46" spans="1:6">
      <c r="A46" t="s">
        <v>147</v>
      </c>
      <c r="B46" t="s">
        <v>1664</v>
      </c>
      <c r="C46" s="2">
        <v>44730</v>
      </c>
      <c r="D46">
        <v>211</v>
      </c>
      <c r="E46">
        <v>159.29</v>
      </c>
      <c r="F46" t="s">
        <v>1661</v>
      </c>
    </row>
    <row r="47" spans="1:6">
      <c r="A47" t="s">
        <v>150</v>
      </c>
      <c r="B47" t="s">
        <v>1666</v>
      </c>
      <c r="C47" s="2">
        <v>44736</v>
      </c>
      <c r="D47">
        <v>763</v>
      </c>
      <c r="E47">
        <v>319.14</v>
      </c>
      <c r="F47" t="s">
        <v>1663</v>
      </c>
    </row>
    <row r="48" spans="1:6">
      <c r="A48" t="s">
        <v>153</v>
      </c>
      <c r="B48" t="s">
        <v>1660</v>
      </c>
      <c r="C48" s="2">
        <v>44733</v>
      </c>
      <c r="D48">
        <v>277</v>
      </c>
      <c r="E48">
        <v>3.81</v>
      </c>
      <c r="F48" t="s">
        <v>1665</v>
      </c>
    </row>
    <row r="49" spans="1:6">
      <c r="A49" t="s">
        <v>156</v>
      </c>
      <c r="B49" t="s">
        <v>1662</v>
      </c>
      <c r="C49" s="2">
        <v>44746</v>
      </c>
      <c r="D49">
        <v>365</v>
      </c>
      <c r="E49">
        <v>8.07</v>
      </c>
      <c r="F49" t="s">
        <v>1667</v>
      </c>
    </row>
    <row r="50" spans="1:6">
      <c r="A50" t="s">
        <v>159</v>
      </c>
      <c r="B50" t="s">
        <v>1664</v>
      </c>
      <c r="C50" s="2">
        <v>44755</v>
      </c>
      <c r="D50">
        <v>737</v>
      </c>
      <c r="E50">
        <v>684.25</v>
      </c>
      <c r="F50" t="s">
        <v>1661</v>
      </c>
    </row>
    <row r="51" spans="1:6">
      <c r="A51" t="s">
        <v>162</v>
      </c>
      <c r="B51" t="s">
        <v>1666</v>
      </c>
      <c r="C51" s="2">
        <v>44755</v>
      </c>
      <c r="D51">
        <v>271</v>
      </c>
      <c r="E51">
        <v>56.89</v>
      </c>
      <c r="F51" t="s">
        <v>1663</v>
      </c>
    </row>
    <row r="52" spans="1:6">
      <c r="A52" t="s">
        <v>165</v>
      </c>
      <c r="B52" t="s">
        <v>1660</v>
      </c>
      <c r="C52" s="2">
        <v>44727</v>
      </c>
      <c r="D52">
        <v>375</v>
      </c>
      <c r="E52">
        <v>69.13</v>
      </c>
      <c r="F52" t="s">
        <v>1665</v>
      </c>
    </row>
    <row r="53" spans="1:6">
      <c r="A53" t="s">
        <v>167</v>
      </c>
      <c r="B53" t="s">
        <v>1662</v>
      </c>
      <c r="C53" s="2">
        <v>44746</v>
      </c>
      <c r="D53">
        <v>497</v>
      </c>
      <c r="E53">
        <v>55.39</v>
      </c>
      <c r="F53" t="s">
        <v>1667</v>
      </c>
    </row>
    <row r="54" spans="1:6">
      <c r="A54" t="s">
        <v>169</v>
      </c>
      <c r="B54" t="s">
        <v>1664</v>
      </c>
      <c r="C54" s="2">
        <v>44740</v>
      </c>
      <c r="D54">
        <v>625</v>
      </c>
      <c r="E54">
        <v>351.8</v>
      </c>
      <c r="F54" t="s">
        <v>1661</v>
      </c>
    </row>
    <row r="55" spans="1:6">
      <c r="A55" t="s">
        <v>171</v>
      </c>
      <c r="B55" t="s">
        <v>1666</v>
      </c>
      <c r="C55" s="2">
        <v>44743</v>
      </c>
      <c r="D55">
        <v>427</v>
      </c>
      <c r="E55">
        <v>13.41</v>
      </c>
      <c r="F55" t="s">
        <v>1663</v>
      </c>
    </row>
    <row r="56" spans="1:6">
      <c r="A56" t="s">
        <v>173</v>
      </c>
      <c r="B56" t="s">
        <v>1668</v>
      </c>
      <c r="C56" s="2">
        <v>44737</v>
      </c>
      <c r="D56">
        <v>804</v>
      </c>
      <c r="E56">
        <v>191.34</v>
      </c>
      <c r="F56" t="s">
        <v>1665</v>
      </c>
    </row>
    <row r="57" spans="1:6">
      <c r="A57" t="s">
        <v>175</v>
      </c>
      <c r="B57" t="s">
        <v>1660</v>
      </c>
      <c r="C57" s="2">
        <v>44757</v>
      </c>
      <c r="D57">
        <v>359</v>
      </c>
      <c r="E57">
        <v>70.77</v>
      </c>
      <c r="F57" t="s">
        <v>1667</v>
      </c>
    </row>
    <row r="58" spans="1:6">
      <c r="A58" t="s">
        <v>177</v>
      </c>
      <c r="B58" t="s">
        <v>1662</v>
      </c>
      <c r="C58" s="2">
        <v>44745</v>
      </c>
      <c r="D58">
        <v>444</v>
      </c>
      <c r="E58">
        <v>30.33</v>
      </c>
      <c r="F58" t="s">
        <v>1661</v>
      </c>
    </row>
    <row r="59" spans="1:6">
      <c r="A59" t="s">
        <v>179</v>
      </c>
      <c r="B59" t="s">
        <v>1664</v>
      </c>
      <c r="C59" s="2">
        <v>44760</v>
      </c>
      <c r="D59">
        <v>801</v>
      </c>
      <c r="E59">
        <v>13.48</v>
      </c>
      <c r="F59" t="s">
        <v>1663</v>
      </c>
    </row>
    <row r="60" spans="1:6">
      <c r="A60" t="s">
        <v>181</v>
      </c>
      <c r="B60" t="s">
        <v>1666</v>
      </c>
      <c r="C60" s="2">
        <v>44750</v>
      </c>
      <c r="D60">
        <v>742</v>
      </c>
      <c r="E60">
        <v>197.83</v>
      </c>
      <c r="F60" t="s">
        <v>1665</v>
      </c>
    </row>
    <row r="61" spans="1:6">
      <c r="A61" t="s">
        <v>183</v>
      </c>
      <c r="B61" t="s">
        <v>1660</v>
      </c>
      <c r="C61" s="2">
        <v>44742</v>
      </c>
      <c r="D61">
        <v>789</v>
      </c>
      <c r="E61">
        <v>167.68</v>
      </c>
      <c r="F61" t="s">
        <v>1667</v>
      </c>
    </row>
    <row r="62" spans="1:6">
      <c r="A62" t="s">
        <v>186</v>
      </c>
      <c r="B62" t="s">
        <v>1662</v>
      </c>
      <c r="C62" s="2">
        <v>44754</v>
      </c>
      <c r="D62">
        <v>783</v>
      </c>
      <c r="E62">
        <v>86.09</v>
      </c>
      <c r="F62" t="s">
        <v>1661</v>
      </c>
    </row>
    <row r="63" spans="1:6">
      <c r="A63" t="s">
        <v>188</v>
      </c>
      <c r="B63" t="s">
        <v>1664</v>
      </c>
      <c r="C63" s="2">
        <v>44746</v>
      </c>
      <c r="D63">
        <v>523</v>
      </c>
      <c r="E63">
        <v>280.37</v>
      </c>
      <c r="F63" t="s">
        <v>1663</v>
      </c>
    </row>
    <row r="64" spans="1:6">
      <c r="A64" t="s">
        <v>190</v>
      </c>
      <c r="B64" t="s">
        <v>1666</v>
      </c>
      <c r="C64" s="2">
        <v>44752</v>
      </c>
      <c r="D64">
        <v>737</v>
      </c>
      <c r="E64">
        <v>27.65</v>
      </c>
      <c r="F64" t="s">
        <v>1665</v>
      </c>
    </row>
    <row r="65" spans="1:6">
      <c r="A65" t="s">
        <v>192</v>
      </c>
      <c r="B65" t="s">
        <v>1668</v>
      </c>
      <c r="C65" s="2">
        <v>44725</v>
      </c>
      <c r="D65">
        <v>879</v>
      </c>
      <c r="E65">
        <v>21.93</v>
      </c>
      <c r="F65" t="s">
        <v>1667</v>
      </c>
    </row>
    <row r="66" spans="1:6">
      <c r="A66" t="s">
        <v>194</v>
      </c>
      <c r="B66" t="s">
        <v>1669</v>
      </c>
      <c r="C66" s="2">
        <v>44734</v>
      </c>
      <c r="D66">
        <v>865</v>
      </c>
      <c r="E66">
        <v>8.76</v>
      </c>
      <c r="F66" t="s">
        <v>1661</v>
      </c>
    </row>
    <row r="67" spans="1:6">
      <c r="A67" t="s">
        <v>196</v>
      </c>
      <c r="B67" t="s">
        <v>1660</v>
      </c>
      <c r="C67" s="2">
        <v>44761</v>
      </c>
      <c r="D67">
        <v>855</v>
      </c>
      <c r="E67">
        <v>111.91</v>
      </c>
      <c r="F67" t="s">
        <v>1663</v>
      </c>
    </row>
    <row r="68" spans="1:6">
      <c r="A68" t="s">
        <v>198</v>
      </c>
      <c r="B68" t="s">
        <v>1662</v>
      </c>
      <c r="C68" s="2">
        <v>44735</v>
      </c>
      <c r="D68">
        <v>429</v>
      </c>
      <c r="E68">
        <v>28.73</v>
      </c>
      <c r="F68" t="s">
        <v>1665</v>
      </c>
    </row>
    <row r="69" spans="1:6">
      <c r="A69" t="s">
        <v>200</v>
      </c>
      <c r="B69" t="s">
        <v>1664</v>
      </c>
      <c r="C69" s="2">
        <v>44753</v>
      </c>
      <c r="D69">
        <v>865</v>
      </c>
      <c r="E69">
        <v>314.44</v>
      </c>
      <c r="F69" t="s">
        <v>1667</v>
      </c>
    </row>
    <row r="70" spans="1:6">
      <c r="A70" t="s">
        <v>202</v>
      </c>
      <c r="B70" t="s">
        <v>1666</v>
      </c>
      <c r="C70" s="2">
        <v>44732</v>
      </c>
      <c r="D70">
        <v>724</v>
      </c>
      <c r="E70">
        <v>223.3</v>
      </c>
      <c r="F70" t="s">
        <v>1661</v>
      </c>
    </row>
    <row r="71" spans="1:6">
      <c r="A71" t="s">
        <v>204</v>
      </c>
      <c r="B71" t="s">
        <v>1660</v>
      </c>
      <c r="C71" s="2">
        <v>44748</v>
      </c>
      <c r="D71">
        <v>661</v>
      </c>
      <c r="E71">
        <v>140.71</v>
      </c>
      <c r="F71" t="s">
        <v>1663</v>
      </c>
    </row>
    <row r="72" spans="1:6">
      <c r="A72" t="s">
        <v>206</v>
      </c>
      <c r="B72" t="s">
        <v>1662</v>
      </c>
      <c r="C72" s="2">
        <v>44731</v>
      </c>
      <c r="D72">
        <v>265</v>
      </c>
      <c r="E72">
        <v>29.28</v>
      </c>
      <c r="F72" t="s">
        <v>1665</v>
      </c>
    </row>
    <row r="73" spans="1:6">
      <c r="A73" t="s">
        <v>208</v>
      </c>
      <c r="B73" t="s">
        <v>1664</v>
      </c>
      <c r="C73" s="2">
        <v>44725</v>
      </c>
      <c r="D73">
        <v>429</v>
      </c>
      <c r="E73">
        <v>20.94</v>
      </c>
      <c r="F73" t="s">
        <v>1667</v>
      </c>
    </row>
    <row r="74" spans="1:6">
      <c r="A74" t="s">
        <v>210</v>
      </c>
      <c r="B74" t="s">
        <v>1666</v>
      </c>
      <c r="C74" s="2">
        <v>44753</v>
      </c>
      <c r="D74">
        <v>756</v>
      </c>
      <c r="E74">
        <v>210.77</v>
      </c>
      <c r="F74" t="s">
        <v>1661</v>
      </c>
    </row>
    <row r="75" spans="1:6">
      <c r="A75" t="s">
        <v>212</v>
      </c>
      <c r="B75" t="s">
        <v>1668</v>
      </c>
      <c r="C75" s="2">
        <v>44738</v>
      </c>
      <c r="D75">
        <v>535</v>
      </c>
      <c r="E75">
        <v>40.69</v>
      </c>
      <c r="F75" t="s">
        <v>1663</v>
      </c>
    </row>
    <row r="76" spans="1:6">
      <c r="A76" t="s">
        <v>214</v>
      </c>
      <c r="B76" t="s">
        <v>1660</v>
      </c>
      <c r="C76" s="2">
        <v>44762</v>
      </c>
      <c r="D76">
        <v>763</v>
      </c>
      <c r="E76">
        <v>91.99</v>
      </c>
      <c r="F76" t="s">
        <v>1665</v>
      </c>
    </row>
    <row r="77" spans="1:6">
      <c r="A77" t="s">
        <v>216</v>
      </c>
      <c r="B77" t="s">
        <v>1662</v>
      </c>
      <c r="C77" s="2">
        <v>44756</v>
      </c>
      <c r="D77">
        <v>817</v>
      </c>
      <c r="E77">
        <v>247.42</v>
      </c>
      <c r="F77" t="s">
        <v>1667</v>
      </c>
    </row>
    <row r="78" spans="1:6">
      <c r="A78" t="s">
        <v>218</v>
      </c>
      <c r="B78" t="s">
        <v>1664</v>
      </c>
      <c r="C78" s="2">
        <v>44744</v>
      </c>
      <c r="D78">
        <v>580</v>
      </c>
      <c r="E78">
        <v>240.14</v>
      </c>
      <c r="F78" t="s">
        <v>1661</v>
      </c>
    </row>
    <row r="79" spans="1:6">
      <c r="A79" t="s">
        <v>220</v>
      </c>
      <c r="B79" t="s">
        <v>1666</v>
      </c>
      <c r="C79" s="2">
        <v>44753</v>
      </c>
      <c r="D79">
        <v>824</v>
      </c>
      <c r="E79">
        <v>5.08</v>
      </c>
      <c r="F79" t="s">
        <v>1663</v>
      </c>
    </row>
    <row r="80" spans="1:6">
      <c r="A80" t="s">
        <v>222</v>
      </c>
      <c r="B80" t="s">
        <v>1660</v>
      </c>
      <c r="C80" s="2">
        <v>44762</v>
      </c>
      <c r="D80">
        <v>849</v>
      </c>
      <c r="E80">
        <v>89.12</v>
      </c>
      <c r="F80" t="s">
        <v>1665</v>
      </c>
    </row>
    <row r="81" spans="1:6">
      <c r="A81" t="s">
        <v>224</v>
      </c>
      <c r="B81" t="s">
        <v>1662</v>
      </c>
      <c r="C81" s="2">
        <v>44740</v>
      </c>
      <c r="D81">
        <v>739</v>
      </c>
      <c r="E81">
        <v>217.1</v>
      </c>
      <c r="F81" t="s">
        <v>1667</v>
      </c>
    </row>
    <row r="82" spans="1:6">
      <c r="A82" t="s">
        <v>226</v>
      </c>
      <c r="B82" t="s">
        <v>1664</v>
      </c>
      <c r="C82" s="2">
        <v>44729</v>
      </c>
      <c r="D82">
        <v>755</v>
      </c>
      <c r="E82">
        <v>427.03</v>
      </c>
      <c r="F82" t="s">
        <v>1661</v>
      </c>
    </row>
    <row r="83" spans="1:6">
      <c r="A83" t="s">
        <v>228</v>
      </c>
      <c r="B83" t="s">
        <v>1666</v>
      </c>
      <c r="C83" s="2">
        <v>44727</v>
      </c>
      <c r="D83">
        <v>535</v>
      </c>
      <c r="E83">
        <v>75.87</v>
      </c>
      <c r="F83" t="s">
        <v>1663</v>
      </c>
    </row>
    <row r="84" spans="1:6">
      <c r="A84" t="s">
        <v>230</v>
      </c>
      <c r="B84" t="s">
        <v>1668</v>
      </c>
      <c r="C84" s="2">
        <v>44734</v>
      </c>
      <c r="D84">
        <v>819</v>
      </c>
      <c r="E84">
        <v>161.57</v>
      </c>
      <c r="F84" t="s">
        <v>1665</v>
      </c>
    </row>
    <row r="85" spans="1:6">
      <c r="A85" t="s">
        <v>232</v>
      </c>
      <c r="B85" t="s">
        <v>1669</v>
      </c>
      <c r="C85" s="2">
        <v>44744</v>
      </c>
      <c r="D85">
        <v>237</v>
      </c>
      <c r="E85">
        <v>37.99</v>
      </c>
      <c r="F85" t="s">
        <v>1667</v>
      </c>
    </row>
    <row r="86" spans="1:6">
      <c r="A86" t="s">
        <v>234</v>
      </c>
      <c r="B86" t="s">
        <v>1660</v>
      </c>
      <c r="C86" s="2">
        <v>44737</v>
      </c>
      <c r="D86">
        <v>277</v>
      </c>
      <c r="E86">
        <v>10.19</v>
      </c>
      <c r="F86" t="s">
        <v>1661</v>
      </c>
    </row>
    <row r="87" spans="1:6">
      <c r="A87" t="s">
        <v>236</v>
      </c>
      <c r="B87" t="s">
        <v>1662</v>
      </c>
      <c r="C87" s="2">
        <v>44752</v>
      </c>
      <c r="D87">
        <v>362</v>
      </c>
      <c r="E87">
        <v>43.62</v>
      </c>
      <c r="F87" t="s">
        <v>1663</v>
      </c>
    </row>
    <row r="88" spans="1:6">
      <c r="A88" t="s">
        <v>238</v>
      </c>
      <c r="B88" t="s">
        <v>1664</v>
      </c>
      <c r="C88" s="2">
        <v>44736</v>
      </c>
      <c r="D88">
        <v>511</v>
      </c>
      <c r="E88">
        <v>197.44</v>
      </c>
      <c r="F88" t="s">
        <v>1665</v>
      </c>
    </row>
    <row r="89" spans="1:6">
      <c r="A89" t="s">
        <v>240</v>
      </c>
      <c r="B89" t="s">
        <v>1666</v>
      </c>
      <c r="C89" s="2">
        <v>44752</v>
      </c>
      <c r="D89">
        <v>658</v>
      </c>
      <c r="E89">
        <v>165.24</v>
      </c>
      <c r="F89" t="s">
        <v>1667</v>
      </c>
    </row>
    <row r="90" spans="1:6">
      <c r="A90" t="s">
        <v>242</v>
      </c>
      <c r="B90" t="s">
        <v>1660</v>
      </c>
      <c r="C90" s="2">
        <v>44759</v>
      </c>
      <c r="D90">
        <v>412</v>
      </c>
      <c r="E90">
        <v>74.569999999999993</v>
      </c>
      <c r="F90" t="s">
        <v>1661</v>
      </c>
    </row>
    <row r="91" spans="1:6">
      <c r="A91" t="s">
        <v>244</v>
      </c>
      <c r="B91" t="s">
        <v>1662</v>
      </c>
      <c r="C91" s="2">
        <v>44763</v>
      </c>
      <c r="D91">
        <v>401</v>
      </c>
      <c r="E91">
        <v>69.63</v>
      </c>
      <c r="F91" t="s">
        <v>1663</v>
      </c>
    </row>
    <row r="92" spans="1:6">
      <c r="A92" t="s">
        <v>246</v>
      </c>
      <c r="B92" t="s">
        <v>1664</v>
      </c>
      <c r="C92" s="2">
        <v>44763</v>
      </c>
      <c r="D92">
        <v>871</v>
      </c>
      <c r="E92">
        <v>657.52</v>
      </c>
      <c r="F92" t="s">
        <v>1665</v>
      </c>
    </row>
    <row r="93" spans="1:6">
      <c r="A93" t="s">
        <v>248</v>
      </c>
      <c r="B93" t="s">
        <v>1666</v>
      </c>
      <c r="C93" s="2">
        <v>44750</v>
      </c>
      <c r="D93">
        <v>564</v>
      </c>
      <c r="E93">
        <v>235.9</v>
      </c>
      <c r="F93" t="s">
        <v>1667</v>
      </c>
    </row>
    <row r="94" spans="1:6">
      <c r="A94" t="s">
        <v>250</v>
      </c>
      <c r="B94" t="s">
        <v>1660</v>
      </c>
      <c r="C94" s="2">
        <v>44751</v>
      </c>
      <c r="D94">
        <v>780</v>
      </c>
      <c r="E94">
        <v>407.04</v>
      </c>
      <c r="F94" t="s">
        <v>1661</v>
      </c>
    </row>
    <row r="95" spans="1:6">
      <c r="A95" t="s">
        <v>252</v>
      </c>
      <c r="B95" t="s">
        <v>1662</v>
      </c>
      <c r="C95" s="2">
        <v>44736</v>
      </c>
      <c r="D95">
        <v>789</v>
      </c>
      <c r="E95">
        <v>347.74</v>
      </c>
      <c r="F95" t="s">
        <v>1663</v>
      </c>
    </row>
    <row r="96" spans="1:6">
      <c r="A96" t="s">
        <v>254</v>
      </c>
      <c r="B96" t="s">
        <v>1664</v>
      </c>
      <c r="C96" s="2">
        <v>44737</v>
      </c>
      <c r="D96">
        <v>697</v>
      </c>
      <c r="E96">
        <v>209.97</v>
      </c>
      <c r="F96" t="s">
        <v>1665</v>
      </c>
    </row>
    <row r="97" spans="1:6">
      <c r="A97" t="s">
        <v>256</v>
      </c>
      <c r="B97" t="s">
        <v>1666</v>
      </c>
      <c r="C97" s="2">
        <v>44744</v>
      </c>
      <c r="D97">
        <v>546</v>
      </c>
      <c r="E97">
        <v>229.44</v>
      </c>
      <c r="F97" t="s">
        <v>1667</v>
      </c>
    </row>
    <row r="98" spans="1:6">
      <c r="A98" t="s">
        <v>258</v>
      </c>
      <c r="B98" t="s">
        <v>1660</v>
      </c>
      <c r="C98" s="2">
        <v>44735</v>
      </c>
      <c r="D98">
        <v>689</v>
      </c>
      <c r="E98">
        <v>263.06</v>
      </c>
      <c r="F98" t="s">
        <v>1661</v>
      </c>
    </row>
    <row r="99" spans="1:6">
      <c r="A99" t="s">
        <v>260</v>
      </c>
      <c r="B99" t="s">
        <v>1662</v>
      </c>
      <c r="C99" s="2">
        <v>44751</v>
      </c>
      <c r="D99">
        <v>298</v>
      </c>
      <c r="E99">
        <v>1.45</v>
      </c>
      <c r="F99" t="s">
        <v>1663</v>
      </c>
    </row>
    <row r="100" spans="1:6">
      <c r="A100" t="s">
        <v>262</v>
      </c>
      <c r="B100" t="s">
        <v>1664</v>
      </c>
      <c r="C100" s="2">
        <v>44726</v>
      </c>
      <c r="D100">
        <v>570</v>
      </c>
      <c r="E100">
        <v>363.99</v>
      </c>
      <c r="F100" t="s">
        <v>1665</v>
      </c>
    </row>
    <row r="101" spans="1:6">
      <c r="A101" t="s">
        <v>264</v>
      </c>
      <c r="B101" t="s">
        <v>1666</v>
      </c>
      <c r="C101" s="2">
        <v>44749</v>
      </c>
      <c r="D101">
        <v>884</v>
      </c>
      <c r="E101">
        <v>818.1</v>
      </c>
      <c r="F101" t="s">
        <v>1667</v>
      </c>
    </row>
    <row r="102" spans="1:6">
      <c r="A102" t="s">
        <v>266</v>
      </c>
      <c r="B102" t="s">
        <v>1668</v>
      </c>
      <c r="C102" s="2">
        <v>44734</v>
      </c>
      <c r="D102">
        <v>607</v>
      </c>
      <c r="E102">
        <v>29.79</v>
      </c>
      <c r="F102" t="s">
        <v>1661</v>
      </c>
    </row>
    <row r="103" spans="1:6">
      <c r="A103" t="s">
        <v>268</v>
      </c>
      <c r="B103" t="s">
        <v>1660</v>
      </c>
      <c r="C103" s="2">
        <v>44726</v>
      </c>
      <c r="D103">
        <v>805</v>
      </c>
      <c r="E103">
        <v>634.01</v>
      </c>
      <c r="F103" t="s">
        <v>1663</v>
      </c>
    </row>
    <row r="104" spans="1:6">
      <c r="A104" t="s">
        <v>270</v>
      </c>
      <c r="B104" t="s">
        <v>1662</v>
      </c>
      <c r="C104" s="2">
        <v>44743</v>
      </c>
      <c r="D104">
        <v>842</v>
      </c>
      <c r="E104">
        <v>376.26</v>
      </c>
      <c r="F104" t="s">
        <v>1665</v>
      </c>
    </row>
    <row r="105" spans="1:6">
      <c r="A105" t="s">
        <v>272</v>
      </c>
      <c r="B105" t="s">
        <v>1664</v>
      </c>
      <c r="C105" s="2">
        <v>44742</v>
      </c>
      <c r="D105">
        <v>508</v>
      </c>
      <c r="E105">
        <v>455.55</v>
      </c>
      <c r="F105" t="s">
        <v>1667</v>
      </c>
    </row>
    <row r="106" spans="1:6">
      <c r="A106" t="s">
        <v>274</v>
      </c>
      <c r="B106" t="s">
        <v>1666</v>
      </c>
      <c r="C106" s="2">
        <v>44747</v>
      </c>
      <c r="D106">
        <v>819</v>
      </c>
      <c r="E106">
        <v>26.52</v>
      </c>
      <c r="F106" t="s">
        <v>1661</v>
      </c>
    </row>
    <row r="107" spans="1:6">
      <c r="A107" t="s">
        <v>276</v>
      </c>
      <c r="B107" t="s">
        <v>1660</v>
      </c>
      <c r="C107" s="2">
        <v>44764</v>
      </c>
      <c r="D107">
        <v>818</v>
      </c>
      <c r="E107">
        <v>770.95</v>
      </c>
      <c r="F107" t="s">
        <v>1663</v>
      </c>
    </row>
    <row r="108" spans="1:6">
      <c r="A108" t="s">
        <v>279</v>
      </c>
      <c r="B108" t="s">
        <v>1662</v>
      </c>
      <c r="C108" s="2">
        <v>44735</v>
      </c>
      <c r="D108">
        <v>482</v>
      </c>
      <c r="E108">
        <v>119.85</v>
      </c>
      <c r="F108" t="s">
        <v>1665</v>
      </c>
    </row>
    <row r="109" spans="1:6">
      <c r="A109" t="s">
        <v>281</v>
      </c>
      <c r="B109" t="s">
        <v>1664</v>
      </c>
      <c r="C109" s="2">
        <v>44737</v>
      </c>
      <c r="D109">
        <v>302</v>
      </c>
      <c r="E109">
        <v>15.07</v>
      </c>
      <c r="F109" t="s">
        <v>1667</v>
      </c>
    </row>
    <row r="110" spans="1:6">
      <c r="A110" t="s">
        <v>283</v>
      </c>
      <c r="B110" t="s">
        <v>1666</v>
      </c>
      <c r="C110" s="2">
        <v>44749</v>
      </c>
      <c r="D110">
        <v>861</v>
      </c>
      <c r="E110">
        <v>427.22</v>
      </c>
      <c r="F110" t="s">
        <v>1661</v>
      </c>
    </row>
    <row r="111" spans="1:6">
      <c r="A111" t="s">
        <v>285</v>
      </c>
      <c r="B111" t="s">
        <v>1668</v>
      </c>
      <c r="C111" s="2">
        <v>44729</v>
      </c>
      <c r="D111">
        <v>756</v>
      </c>
      <c r="E111">
        <v>475.45</v>
      </c>
      <c r="F111" t="s">
        <v>1663</v>
      </c>
    </row>
    <row r="112" spans="1:6">
      <c r="A112" t="s">
        <v>287</v>
      </c>
      <c r="B112" t="s">
        <v>1669</v>
      </c>
      <c r="C112" s="2">
        <v>44738</v>
      </c>
      <c r="D112">
        <v>756</v>
      </c>
      <c r="E112">
        <v>662.11</v>
      </c>
      <c r="F112" t="s">
        <v>1665</v>
      </c>
    </row>
    <row r="113" spans="1:6">
      <c r="A113" t="s">
        <v>289</v>
      </c>
      <c r="B113" t="s">
        <v>1660</v>
      </c>
      <c r="C113" s="2">
        <v>44740</v>
      </c>
      <c r="D113">
        <v>807</v>
      </c>
      <c r="E113">
        <v>299.16000000000003</v>
      </c>
      <c r="F113" t="s">
        <v>1667</v>
      </c>
    </row>
    <row r="114" spans="1:6">
      <c r="A114" t="s">
        <v>291</v>
      </c>
      <c r="B114" t="s">
        <v>1662</v>
      </c>
      <c r="C114" s="2">
        <v>44755</v>
      </c>
      <c r="D114">
        <v>628</v>
      </c>
      <c r="E114">
        <v>404.58</v>
      </c>
      <c r="F114" t="s">
        <v>1661</v>
      </c>
    </row>
    <row r="115" spans="1:6">
      <c r="A115" t="s">
        <v>293</v>
      </c>
      <c r="B115" t="s">
        <v>1664</v>
      </c>
      <c r="C115" s="2">
        <v>44755</v>
      </c>
      <c r="D115">
        <v>509</v>
      </c>
      <c r="E115">
        <v>390.17</v>
      </c>
      <c r="F115" t="s">
        <v>1663</v>
      </c>
    </row>
    <row r="116" spans="1:6">
      <c r="A116" t="s">
        <v>295</v>
      </c>
      <c r="B116" t="s">
        <v>1666</v>
      </c>
      <c r="C116" s="2">
        <v>44764</v>
      </c>
      <c r="D116">
        <v>241</v>
      </c>
      <c r="E116">
        <v>179.35</v>
      </c>
      <c r="F116" t="s">
        <v>1665</v>
      </c>
    </row>
    <row r="117" spans="1:6">
      <c r="A117" t="s">
        <v>297</v>
      </c>
      <c r="B117" t="s">
        <v>1660</v>
      </c>
      <c r="C117" s="2">
        <v>44735</v>
      </c>
      <c r="D117">
        <v>567</v>
      </c>
      <c r="E117">
        <v>274.91000000000003</v>
      </c>
      <c r="F117" t="s">
        <v>1667</v>
      </c>
    </row>
    <row r="118" spans="1:6">
      <c r="A118" t="s">
        <v>299</v>
      </c>
      <c r="B118" t="s">
        <v>1662</v>
      </c>
      <c r="C118" s="2">
        <v>44734</v>
      </c>
      <c r="D118">
        <v>509</v>
      </c>
      <c r="E118">
        <v>53.74</v>
      </c>
      <c r="F118" t="s">
        <v>1661</v>
      </c>
    </row>
    <row r="119" spans="1:6">
      <c r="A119" t="s">
        <v>301</v>
      </c>
      <c r="B119" t="s">
        <v>1664</v>
      </c>
      <c r="C119" s="2">
        <v>44728</v>
      </c>
      <c r="D119">
        <v>326</v>
      </c>
      <c r="E119">
        <v>116.33</v>
      </c>
      <c r="F119" t="s">
        <v>1663</v>
      </c>
    </row>
    <row r="120" spans="1:6">
      <c r="A120" t="s">
        <v>303</v>
      </c>
      <c r="B120" t="s">
        <v>1666</v>
      </c>
      <c r="C120" s="2">
        <v>44739</v>
      </c>
      <c r="D120">
        <v>287</v>
      </c>
      <c r="E120">
        <v>111.84</v>
      </c>
      <c r="F120" t="s">
        <v>1665</v>
      </c>
    </row>
    <row r="121" spans="1:6">
      <c r="A121" t="s">
        <v>305</v>
      </c>
      <c r="B121" t="s">
        <v>1668</v>
      </c>
      <c r="C121" s="2">
        <v>44765</v>
      </c>
      <c r="D121">
        <v>374</v>
      </c>
      <c r="E121">
        <v>102.27</v>
      </c>
      <c r="F121" t="s">
        <v>1667</v>
      </c>
    </row>
    <row r="122" spans="1:6">
      <c r="A122" t="s">
        <v>307</v>
      </c>
      <c r="B122" t="s">
        <v>1660</v>
      </c>
      <c r="C122" s="2">
        <v>44740</v>
      </c>
      <c r="D122">
        <v>826</v>
      </c>
      <c r="E122">
        <v>565.02</v>
      </c>
      <c r="F122" t="s">
        <v>1661</v>
      </c>
    </row>
    <row r="123" spans="1:6">
      <c r="A123" t="s">
        <v>309</v>
      </c>
      <c r="B123" t="s">
        <v>1662</v>
      </c>
      <c r="C123" s="2">
        <v>44734</v>
      </c>
      <c r="D123">
        <v>276</v>
      </c>
      <c r="E123">
        <v>84.22</v>
      </c>
      <c r="F123" t="s">
        <v>1663</v>
      </c>
    </row>
    <row r="124" spans="1:6">
      <c r="A124" t="s">
        <v>311</v>
      </c>
      <c r="B124" t="s">
        <v>1664</v>
      </c>
      <c r="C124" s="2">
        <v>44727</v>
      </c>
      <c r="D124">
        <v>831</v>
      </c>
      <c r="E124">
        <v>221.34</v>
      </c>
      <c r="F124" t="s">
        <v>1665</v>
      </c>
    </row>
    <row r="125" spans="1:6">
      <c r="A125" t="s">
        <v>313</v>
      </c>
      <c r="B125" t="s">
        <v>1666</v>
      </c>
      <c r="C125" s="2">
        <v>44737</v>
      </c>
      <c r="D125">
        <v>260</v>
      </c>
      <c r="E125">
        <v>248.56</v>
      </c>
      <c r="F125" t="s">
        <v>1667</v>
      </c>
    </row>
    <row r="126" spans="1:6">
      <c r="A126" t="s">
        <v>315</v>
      </c>
      <c r="B126" t="s">
        <v>1660</v>
      </c>
      <c r="C126" s="2">
        <v>44747</v>
      </c>
      <c r="D126">
        <v>250</v>
      </c>
      <c r="E126">
        <v>196.17</v>
      </c>
      <c r="F126" t="s">
        <v>1661</v>
      </c>
    </row>
    <row r="127" spans="1:6">
      <c r="A127" t="s">
        <v>317</v>
      </c>
      <c r="B127" t="s">
        <v>1662</v>
      </c>
      <c r="C127" s="2">
        <v>44754</v>
      </c>
      <c r="D127">
        <v>245</v>
      </c>
      <c r="E127">
        <v>226.71</v>
      </c>
      <c r="F127" t="s">
        <v>1663</v>
      </c>
    </row>
    <row r="128" spans="1:6">
      <c r="A128" t="s">
        <v>319</v>
      </c>
      <c r="B128" t="s">
        <v>1664</v>
      </c>
      <c r="C128" s="2">
        <v>44760</v>
      </c>
      <c r="D128">
        <v>833</v>
      </c>
      <c r="E128">
        <v>760.66</v>
      </c>
      <c r="F128" t="s">
        <v>1665</v>
      </c>
    </row>
    <row r="129" spans="1:6">
      <c r="A129" t="s">
        <v>321</v>
      </c>
      <c r="B129" t="s">
        <v>1666</v>
      </c>
      <c r="C129" s="2">
        <v>44759</v>
      </c>
      <c r="D129">
        <v>258</v>
      </c>
      <c r="E129">
        <v>21.83</v>
      </c>
      <c r="F129" t="s">
        <v>1667</v>
      </c>
    </row>
    <row r="130" spans="1:6">
      <c r="A130" t="s">
        <v>323</v>
      </c>
      <c r="B130" t="s">
        <v>1668</v>
      </c>
      <c r="C130" s="2">
        <v>44735</v>
      </c>
      <c r="D130">
        <v>393</v>
      </c>
      <c r="E130">
        <v>365.43</v>
      </c>
      <c r="F130" t="s">
        <v>1661</v>
      </c>
    </row>
    <row r="131" spans="1:6">
      <c r="A131" t="s">
        <v>325</v>
      </c>
      <c r="B131" t="s">
        <v>1669</v>
      </c>
      <c r="C131" s="2">
        <v>44734</v>
      </c>
      <c r="D131">
        <v>614</v>
      </c>
      <c r="E131">
        <v>80.010000000000005</v>
      </c>
      <c r="F131" t="s">
        <v>1663</v>
      </c>
    </row>
    <row r="132" spans="1:6">
      <c r="A132" t="s">
        <v>327</v>
      </c>
      <c r="B132" t="s">
        <v>1660</v>
      </c>
      <c r="C132" s="2">
        <v>44753</v>
      </c>
      <c r="D132">
        <v>467</v>
      </c>
      <c r="E132">
        <v>193.61</v>
      </c>
      <c r="F132" t="s">
        <v>1665</v>
      </c>
    </row>
    <row r="133" spans="1:6">
      <c r="A133" t="s">
        <v>329</v>
      </c>
      <c r="B133" t="s">
        <v>1662</v>
      </c>
      <c r="C133" s="2">
        <v>44739</v>
      </c>
      <c r="D133">
        <v>489</v>
      </c>
      <c r="E133">
        <v>381.2</v>
      </c>
      <c r="F133" t="s">
        <v>1667</v>
      </c>
    </row>
    <row r="134" spans="1:6">
      <c r="A134" t="s">
        <v>331</v>
      </c>
      <c r="B134" t="s">
        <v>1664</v>
      </c>
      <c r="C134" s="2">
        <v>44740</v>
      </c>
      <c r="D134">
        <v>868</v>
      </c>
      <c r="E134">
        <v>491.31</v>
      </c>
      <c r="F134" t="s">
        <v>1661</v>
      </c>
    </row>
    <row r="135" spans="1:6">
      <c r="A135" t="s">
        <v>333</v>
      </c>
      <c r="B135" t="s">
        <v>1666</v>
      </c>
      <c r="C135" s="2">
        <v>44748</v>
      </c>
      <c r="D135">
        <v>317</v>
      </c>
      <c r="E135">
        <v>251.16</v>
      </c>
      <c r="F135" t="s">
        <v>1663</v>
      </c>
    </row>
    <row r="136" spans="1:6">
      <c r="A136" t="s">
        <v>335</v>
      </c>
      <c r="B136" t="s">
        <v>1660</v>
      </c>
      <c r="C136" s="2">
        <v>44731</v>
      </c>
      <c r="D136">
        <v>643</v>
      </c>
      <c r="E136">
        <v>62.25</v>
      </c>
      <c r="F136" t="s">
        <v>1665</v>
      </c>
    </row>
    <row r="137" spans="1:6">
      <c r="A137" t="s">
        <v>337</v>
      </c>
      <c r="B137" t="s">
        <v>1662</v>
      </c>
      <c r="C137" s="2">
        <v>44763</v>
      </c>
      <c r="D137">
        <v>508</v>
      </c>
      <c r="E137">
        <v>54.55</v>
      </c>
      <c r="F137" t="s">
        <v>1667</v>
      </c>
    </row>
    <row r="138" spans="1:6">
      <c r="A138" t="s">
        <v>339</v>
      </c>
      <c r="B138" t="s">
        <v>1664</v>
      </c>
      <c r="C138" s="2">
        <v>44733</v>
      </c>
      <c r="D138">
        <v>272</v>
      </c>
      <c r="E138">
        <v>185.78</v>
      </c>
      <c r="F138" t="s">
        <v>1661</v>
      </c>
    </row>
    <row r="139" spans="1:6">
      <c r="A139" t="s">
        <v>341</v>
      </c>
      <c r="B139" t="s">
        <v>1666</v>
      </c>
      <c r="C139" s="2">
        <v>44746</v>
      </c>
      <c r="D139">
        <v>301</v>
      </c>
      <c r="E139">
        <v>26.64</v>
      </c>
      <c r="F139" t="s">
        <v>1663</v>
      </c>
    </row>
    <row r="140" spans="1:6">
      <c r="A140" t="s">
        <v>343</v>
      </c>
      <c r="B140" t="s">
        <v>1660</v>
      </c>
      <c r="C140" s="2">
        <v>44755</v>
      </c>
      <c r="D140">
        <v>637</v>
      </c>
      <c r="E140">
        <v>78.12</v>
      </c>
      <c r="F140" t="s">
        <v>1665</v>
      </c>
    </row>
    <row r="141" spans="1:6">
      <c r="A141" t="s">
        <v>345</v>
      </c>
      <c r="B141" t="s">
        <v>1662</v>
      </c>
      <c r="C141" s="2">
        <v>44755</v>
      </c>
      <c r="D141">
        <v>427</v>
      </c>
      <c r="E141">
        <v>91.16</v>
      </c>
      <c r="F141" t="s">
        <v>1667</v>
      </c>
    </row>
    <row r="142" spans="1:6">
      <c r="A142" t="s">
        <v>347</v>
      </c>
      <c r="B142" t="s">
        <v>1664</v>
      </c>
      <c r="C142" s="2">
        <v>44727</v>
      </c>
      <c r="D142">
        <v>677</v>
      </c>
      <c r="E142">
        <v>350.54</v>
      </c>
      <c r="F142" t="s">
        <v>1661</v>
      </c>
    </row>
    <row r="143" spans="1:6">
      <c r="A143" t="s">
        <v>349</v>
      </c>
      <c r="B143" t="s">
        <v>1666</v>
      </c>
      <c r="C143" s="2">
        <v>44746</v>
      </c>
      <c r="D143">
        <v>382</v>
      </c>
      <c r="E143">
        <v>94.41</v>
      </c>
      <c r="F143" t="s">
        <v>1663</v>
      </c>
    </row>
    <row r="144" spans="1:6">
      <c r="A144" t="s">
        <v>351</v>
      </c>
      <c r="B144" t="s">
        <v>1660</v>
      </c>
      <c r="C144" s="2">
        <v>44740</v>
      </c>
      <c r="D144">
        <v>281</v>
      </c>
      <c r="E144">
        <v>208.25</v>
      </c>
      <c r="F144" t="s">
        <v>1665</v>
      </c>
    </row>
    <row r="145" spans="1:6">
      <c r="A145" t="s">
        <v>353</v>
      </c>
      <c r="B145" t="s">
        <v>1662</v>
      </c>
      <c r="C145" s="2">
        <v>44743</v>
      </c>
      <c r="D145">
        <v>301</v>
      </c>
      <c r="E145">
        <v>228.45</v>
      </c>
      <c r="F145" t="s">
        <v>1667</v>
      </c>
    </row>
    <row r="146" spans="1:6">
      <c r="A146" t="s">
        <v>355</v>
      </c>
      <c r="B146" t="s">
        <v>1664</v>
      </c>
      <c r="C146" s="2">
        <v>44737</v>
      </c>
      <c r="D146">
        <v>888</v>
      </c>
      <c r="E146">
        <v>350.94</v>
      </c>
      <c r="F146" t="s">
        <v>1661</v>
      </c>
    </row>
    <row r="147" spans="1:6">
      <c r="A147" t="s">
        <v>357</v>
      </c>
      <c r="B147" t="s">
        <v>1666</v>
      </c>
      <c r="C147" s="2">
        <v>44757</v>
      </c>
      <c r="D147">
        <v>595</v>
      </c>
      <c r="E147">
        <v>15.39</v>
      </c>
      <c r="F147" t="s">
        <v>1663</v>
      </c>
    </row>
    <row r="148" spans="1:6">
      <c r="A148" t="s">
        <v>359</v>
      </c>
      <c r="B148" t="s">
        <v>1668</v>
      </c>
      <c r="C148" s="2">
        <v>44745</v>
      </c>
      <c r="D148">
        <v>597</v>
      </c>
      <c r="E148">
        <v>210.29</v>
      </c>
      <c r="F148" t="s">
        <v>1665</v>
      </c>
    </row>
    <row r="149" spans="1:6">
      <c r="A149" t="s">
        <v>361</v>
      </c>
      <c r="B149" t="s">
        <v>1660</v>
      </c>
      <c r="C149" s="2">
        <v>44760</v>
      </c>
      <c r="D149">
        <v>837</v>
      </c>
      <c r="E149">
        <v>35.94</v>
      </c>
      <c r="F149" t="s">
        <v>1667</v>
      </c>
    </row>
    <row r="150" spans="1:6">
      <c r="A150" t="s">
        <v>363</v>
      </c>
      <c r="B150" t="s">
        <v>1662</v>
      </c>
      <c r="C150" s="2">
        <v>44750</v>
      </c>
      <c r="D150">
        <v>794</v>
      </c>
      <c r="E150">
        <v>5.47</v>
      </c>
      <c r="F150" t="s">
        <v>1661</v>
      </c>
    </row>
    <row r="151" spans="1:6">
      <c r="A151" t="s">
        <v>365</v>
      </c>
      <c r="B151" t="s">
        <v>1664</v>
      </c>
      <c r="C151" s="2">
        <v>44742</v>
      </c>
      <c r="D151">
        <v>356</v>
      </c>
      <c r="E151">
        <v>304.51</v>
      </c>
      <c r="F151" t="s">
        <v>1663</v>
      </c>
    </row>
    <row r="152" spans="1:6">
      <c r="A152" t="s">
        <v>367</v>
      </c>
      <c r="B152" t="s">
        <v>1666</v>
      </c>
      <c r="C152" s="2">
        <v>44754</v>
      </c>
      <c r="D152">
        <v>742</v>
      </c>
      <c r="E152">
        <v>460.84</v>
      </c>
      <c r="F152" t="s">
        <v>1665</v>
      </c>
    </row>
    <row r="153" spans="1:6">
      <c r="A153" t="s">
        <v>369</v>
      </c>
      <c r="B153" t="s">
        <v>1660</v>
      </c>
      <c r="C153" s="2">
        <v>44746</v>
      </c>
      <c r="D153">
        <v>214</v>
      </c>
      <c r="E153">
        <v>200.78</v>
      </c>
      <c r="F153" t="s">
        <v>1667</v>
      </c>
    </row>
    <row r="154" spans="1:6">
      <c r="A154" t="s">
        <v>371</v>
      </c>
      <c r="B154" t="s">
        <v>1662</v>
      </c>
      <c r="C154" s="2">
        <v>44752</v>
      </c>
      <c r="D154">
        <v>797</v>
      </c>
      <c r="E154">
        <v>778.93</v>
      </c>
      <c r="F154" t="s">
        <v>1661</v>
      </c>
    </row>
    <row r="155" spans="1:6">
      <c r="A155" t="s">
        <v>373</v>
      </c>
      <c r="B155" t="s">
        <v>1664</v>
      </c>
      <c r="C155" s="2">
        <v>44725</v>
      </c>
      <c r="D155">
        <v>871</v>
      </c>
      <c r="E155">
        <v>815.42</v>
      </c>
      <c r="F155" t="s">
        <v>1663</v>
      </c>
    </row>
    <row r="156" spans="1:6">
      <c r="A156" t="s">
        <v>375</v>
      </c>
      <c r="B156" t="s">
        <v>1666</v>
      </c>
      <c r="C156" s="2">
        <v>44734</v>
      </c>
      <c r="D156">
        <v>603</v>
      </c>
      <c r="E156">
        <v>559.27</v>
      </c>
      <c r="F156" t="s">
        <v>1665</v>
      </c>
    </row>
    <row r="157" spans="1:6">
      <c r="A157" t="s">
        <v>377</v>
      </c>
      <c r="B157" t="s">
        <v>1668</v>
      </c>
      <c r="C157" s="2">
        <v>44761</v>
      </c>
      <c r="D157">
        <v>489</v>
      </c>
      <c r="E157">
        <v>48.09</v>
      </c>
      <c r="F157" t="s">
        <v>1667</v>
      </c>
    </row>
    <row r="158" spans="1:6">
      <c r="A158" t="s">
        <v>379</v>
      </c>
      <c r="B158" t="s">
        <v>1669</v>
      </c>
      <c r="C158" s="2">
        <v>44735</v>
      </c>
      <c r="D158">
        <v>432</v>
      </c>
      <c r="E158">
        <v>1.95</v>
      </c>
      <c r="F158" t="s">
        <v>1661</v>
      </c>
    </row>
    <row r="159" spans="1:6">
      <c r="A159" t="s">
        <v>381</v>
      </c>
      <c r="B159" t="s">
        <v>1660</v>
      </c>
      <c r="C159" s="2">
        <v>44753</v>
      </c>
      <c r="D159">
        <v>680</v>
      </c>
      <c r="E159">
        <v>150.76</v>
      </c>
      <c r="F159" t="s">
        <v>1663</v>
      </c>
    </row>
    <row r="160" spans="1:6">
      <c r="A160" t="s">
        <v>383</v>
      </c>
      <c r="B160" t="s">
        <v>1662</v>
      </c>
      <c r="C160" s="2">
        <v>44732</v>
      </c>
      <c r="D160">
        <v>422</v>
      </c>
      <c r="E160">
        <v>386.66</v>
      </c>
      <c r="F160" t="s">
        <v>1665</v>
      </c>
    </row>
    <row r="161" spans="1:6">
      <c r="A161" t="s">
        <v>385</v>
      </c>
      <c r="B161" t="s">
        <v>1664</v>
      </c>
      <c r="C161" s="2">
        <v>44748</v>
      </c>
      <c r="D161">
        <v>718</v>
      </c>
      <c r="E161">
        <v>440.59</v>
      </c>
      <c r="F161" t="s">
        <v>1667</v>
      </c>
    </row>
    <row r="162" spans="1:6">
      <c r="A162" t="s">
        <v>387</v>
      </c>
      <c r="B162" t="s">
        <v>1666</v>
      </c>
      <c r="C162" s="2">
        <v>44731</v>
      </c>
      <c r="D162">
        <v>495</v>
      </c>
      <c r="E162">
        <v>403.79</v>
      </c>
      <c r="F162" t="s">
        <v>1661</v>
      </c>
    </row>
    <row r="163" spans="1:6">
      <c r="A163" t="s">
        <v>389</v>
      </c>
      <c r="B163" t="s">
        <v>1660</v>
      </c>
      <c r="C163" s="2">
        <v>44725</v>
      </c>
      <c r="D163">
        <v>777</v>
      </c>
      <c r="E163">
        <v>469.27</v>
      </c>
      <c r="F163" t="s">
        <v>1663</v>
      </c>
    </row>
    <row r="164" spans="1:6">
      <c r="A164" t="s">
        <v>391</v>
      </c>
      <c r="B164" t="s">
        <v>1662</v>
      </c>
      <c r="C164" s="2">
        <v>44753</v>
      </c>
      <c r="D164">
        <v>484</v>
      </c>
      <c r="E164">
        <v>131.49</v>
      </c>
      <c r="F164" t="s">
        <v>1665</v>
      </c>
    </row>
    <row r="165" spans="1:6">
      <c r="A165" t="s">
        <v>393</v>
      </c>
      <c r="B165" t="s">
        <v>1664</v>
      </c>
      <c r="C165" s="2">
        <v>44738</v>
      </c>
      <c r="D165">
        <v>607</v>
      </c>
      <c r="E165">
        <v>341.7</v>
      </c>
      <c r="F165" t="s">
        <v>1667</v>
      </c>
    </row>
    <row r="166" spans="1:6">
      <c r="A166" t="s">
        <v>395</v>
      </c>
      <c r="B166" t="s">
        <v>1666</v>
      </c>
      <c r="C166" s="2">
        <v>44762</v>
      </c>
      <c r="D166">
        <v>494</v>
      </c>
      <c r="E166">
        <v>363.49</v>
      </c>
      <c r="F166" t="s">
        <v>1661</v>
      </c>
    </row>
    <row r="167" spans="1:6">
      <c r="A167" t="s">
        <v>397</v>
      </c>
      <c r="B167" t="s">
        <v>1668</v>
      </c>
      <c r="C167" s="2">
        <v>44756</v>
      </c>
      <c r="D167">
        <v>707</v>
      </c>
      <c r="E167">
        <v>311.88</v>
      </c>
      <c r="F167" t="s">
        <v>1663</v>
      </c>
    </row>
    <row r="168" spans="1:6">
      <c r="A168" t="s">
        <v>399</v>
      </c>
      <c r="B168" t="s">
        <v>1660</v>
      </c>
      <c r="C168" s="2">
        <v>44744</v>
      </c>
      <c r="D168">
        <v>806</v>
      </c>
      <c r="E168">
        <v>540.24</v>
      </c>
      <c r="F168" t="s">
        <v>1665</v>
      </c>
    </row>
    <row r="169" spans="1:6">
      <c r="A169" t="s">
        <v>401</v>
      </c>
      <c r="B169" t="s">
        <v>1662</v>
      </c>
      <c r="C169" s="2">
        <v>44753</v>
      </c>
      <c r="D169">
        <v>581</v>
      </c>
      <c r="E169">
        <v>124.93</v>
      </c>
      <c r="F169" t="s">
        <v>1667</v>
      </c>
    </row>
    <row r="170" spans="1:6">
      <c r="A170" t="s">
        <v>403</v>
      </c>
      <c r="B170" t="s">
        <v>1664</v>
      </c>
      <c r="C170" s="2">
        <v>44762</v>
      </c>
      <c r="D170">
        <v>835</v>
      </c>
      <c r="E170">
        <v>647.37</v>
      </c>
      <c r="F170" t="s">
        <v>1661</v>
      </c>
    </row>
    <row r="171" spans="1:6">
      <c r="A171" t="s">
        <v>405</v>
      </c>
      <c r="B171" t="s">
        <v>1666</v>
      </c>
      <c r="C171" s="2">
        <v>44740</v>
      </c>
      <c r="D171">
        <v>444</v>
      </c>
      <c r="E171">
        <v>143.57</v>
      </c>
      <c r="F171" t="s">
        <v>1663</v>
      </c>
    </row>
    <row r="172" spans="1:6">
      <c r="A172" t="s">
        <v>407</v>
      </c>
      <c r="B172" t="s">
        <v>1660</v>
      </c>
      <c r="C172" s="2">
        <v>44729</v>
      </c>
      <c r="D172">
        <v>353</v>
      </c>
      <c r="E172">
        <v>74.739999999999995</v>
      </c>
      <c r="F172" t="s">
        <v>1665</v>
      </c>
    </row>
    <row r="173" spans="1:6">
      <c r="A173" t="s">
        <v>409</v>
      </c>
      <c r="B173" t="s">
        <v>1662</v>
      </c>
      <c r="C173" s="2">
        <v>44727</v>
      </c>
      <c r="D173">
        <v>643</v>
      </c>
      <c r="E173">
        <v>641.83000000000004</v>
      </c>
      <c r="F173" t="s">
        <v>1667</v>
      </c>
    </row>
    <row r="174" spans="1:6">
      <c r="A174" t="s">
        <v>411</v>
      </c>
      <c r="B174" t="s">
        <v>1664</v>
      </c>
      <c r="C174" s="2">
        <v>44734</v>
      </c>
      <c r="D174">
        <v>791</v>
      </c>
      <c r="E174">
        <v>271.49</v>
      </c>
      <c r="F174" t="s">
        <v>1661</v>
      </c>
    </row>
    <row r="175" spans="1:6">
      <c r="A175" t="s">
        <v>413</v>
      </c>
      <c r="B175" t="s">
        <v>1666</v>
      </c>
      <c r="C175" s="2">
        <v>44744</v>
      </c>
      <c r="D175">
        <v>842</v>
      </c>
      <c r="E175">
        <v>148.94</v>
      </c>
      <c r="F175" t="s">
        <v>1663</v>
      </c>
    </row>
    <row r="176" spans="1:6">
      <c r="A176" t="s">
        <v>415</v>
      </c>
      <c r="B176" t="s">
        <v>1668</v>
      </c>
      <c r="C176" s="2">
        <v>44737</v>
      </c>
      <c r="D176">
        <v>692</v>
      </c>
      <c r="E176">
        <v>379.59</v>
      </c>
      <c r="F176" t="s">
        <v>1665</v>
      </c>
    </row>
    <row r="177" spans="1:6">
      <c r="A177" t="s">
        <v>417</v>
      </c>
      <c r="B177" t="s">
        <v>1669</v>
      </c>
      <c r="C177" s="2">
        <v>44752</v>
      </c>
      <c r="D177">
        <v>707</v>
      </c>
      <c r="E177">
        <v>287.14</v>
      </c>
      <c r="F177" t="s">
        <v>1667</v>
      </c>
    </row>
    <row r="178" spans="1:6">
      <c r="A178" t="s">
        <v>419</v>
      </c>
      <c r="B178" t="s">
        <v>1660</v>
      </c>
      <c r="C178" s="2">
        <v>44736</v>
      </c>
      <c r="D178">
        <v>396</v>
      </c>
      <c r="E178">
        <v>66.45</v>
      </c>
      <c r="F178" t="s">
        <v>1661</v>
      </c>
    </row>
    <row r="179" spans="1:6">
      <c r="A179" t="s">
        <v>421</v>
      </c>
      <c r="B179" t="s">
        <v>1662</v>
      </c>
      <c r="C179" s="2">
        <v>44752</v>
      </c>
      <c r="D179">
        <v>671</v>
      </c>
      <c r="E179">
        <v>611.20000000000005</v>
      </c>
      <c r="F179" t="s">
        <v>1663</v>
      </c>
    </row>
    <row r="180" spans="1:6">
      <c r="A180" t="s">
        <v>423</v>
      </c>
      <c r="B180" t="s">
        <v>1664</v>
      </c>
      <c r="C180" s="2">
        <v>44759</v>
      </c>
      <c r="D180">
        <v>813</v>
      </c>
      <c r="E180">
        <v>222.12</v>
      </c>
      <c r="F180" t="s">
        <v>1665</v>
      </c>
    </row>
    <row r="181" spans="1:6">
      <c r="A181" t="s">
        <v>425</v>
      </c>
      <c r="B181" t="s">
        <v>1666</v>
      </c>
      <c r="C181" s="2">
        <v>44763</v>
      </c>
      <c r="D181">
        <v>487</v>
      </c>
      <c r="E181">
        <v>399.27</v>
      </c>
      <c r="F181" t="s">
        <v>1667</v>
      </c>
    </row>
    <row r="182" spans="1:6">
      <c r="A182" t="s">
        <v>427</v>
      </c>
      <c r="B182" t="s">
        <v>1660</v>
      </c>
      <c r="C182" s="2">
        <v>44763</v>
      </c>
      <c r="D182">
        <v>509</v>
      </c>
      <c r="E182">
        <v>458.01</v>
      </c>
      <c r="F182" t="s">
        <v>1661</v>
      </c>
    </row>
    <row r="183" spans="1:6">
      <c r="A183" t="s">
        <v>429</v>
      </c>
      <c r="B183" t="s">
        <v>1662</v>
      </c>
      <c r="C183" s="2">
        <v>44750</v>
      </c>
      <c r="D183">
        <v>298</v>
      </c>
      <c r="E183">
        <v>219.1</v>
      </c>
      <c r="F183" t="s">
        <v>1663</v>
      </c>
    </row>
    <row r="184" spans="1:6">
      <c r="A184" t="s">
        <v>431</v>
      </c>
      <c r="B184" t="s">
        <v>1664</v>
      </c>
      <c r="C184" s="2">
        <v>44751</v>
      </c>
      <c r="D184">
        <v>701</v>
      </c>
      <c r="E184">
        <v>256.43</v>
      </c>
      <c r="F184" t="s">
        <v>1665</v>
      </c>
    </row>
    <row r="185" spans="1:6">
      <c r="A185" t="s">
        <v>433</v>
      </c>
      <c r="B185" t="s">
        <v>1666</v>
      </c>
      <c r="C185" s="2">
        <v>44736</v>
      </c>
      <c r="D185">
        <v>307</v>
      </c>
      <c r="E185">
        <v>243.5</v>
      </c>
      <c r="F185" t="s">
        <v>1667</v>
      </c>
    </row>
    <row r="186" spans="1:6">
      <c r="A186" t="s">
        <v>435</v>
      </c>
      <c r="B186" t="s">
        <v>1660</v>
      </c>
      <c r="C186" s="2">
        <v>44737</v>
      </c>
      <c r="D186">
        <v>285</v>
      </c>
      <c r="E186">
        <v>22.92</v>
      </c>
      <c r="F186" t="s">
        <v>1661</v>
      </c>
    </row>
    <row r="187" spans="1:6">
      <c r="A187" t="s">
        <v>437</v>
      </c>
      <c r="B187" t="s">
        <v>1662</v>
      </c>
      <c r="C187" s="2">
        <v>44744</v>
      </c>
      <c r="D187">
        <v>791</v>
      </c>
      <c r="E187">
        <v>304.75</v>
      </c>
      <c r="F187" t="s">
        <v>1663</v>
      </c>
    </row>
    <row r="188" spans="1:6">
      <c r="A188" t="s">
        <v>439</v>
      </c>
      <c r="B188" t="s">
        <v>1664</v>
      </c>
      <c r="C188" s="2">
        <v>44735</v>
      </c>
      <c r="D188">
        <v>283</v>
      </c>
      <c r="E188">
        <v>128.79</v>
      </c>
      <c r="F188" t="s">
        <v>1665</v>
      </c>
    </row>
    <row r="189" spans="1:6">
      <c r="A189" t="s">
        <v>441</v>
      </c>
      <c r="B189" t="s">
        <v>1666</v>
      </c>
      <c r="C189" s="2">
        <v>44751</v>
      </c>
      <c r="D189">
        <v>543</v>
      </c>
      <c r="E189">
        <v>509.49</v>
      </c>
      <c r="F189" t="s">
        <v>1667</v>
      </c>
    </row>
    <row r="190" spans="1:6">
      <c r="A190" t="s">
        <v>443</v>
      </c>
      <c r="B190" t="s">
        <v>1660</v>
      </c>
      <c r="C190" s="2">
        <v>44726</v>
      </c>
      <c r="D190">
        <v>488</v>
      </c>
      <c r="E190">
        <v>71.819999999999993</v>
      </c>
      <c r="F190" t="s">
        <v>1661</v>
      </c>
    </row>
    <row r="191" spans="1:6">
      <c r="A191" t="s">
        <v>445</v>
      </c>
      <c r="B191" t="s">
        <v>1662</v>
      </c>
      <c r="C191" s="2">
        <v>44749</v>
      </c>
      <c r="D191">
        <v>781</v>
      </c>
      <c r="E191">
        <v>79.349999999999994</v>
      </c>
      <c r="F191" t="s">
        <v>1663</v>
      </c>
    </row>
    <row r="192" spans="1:6">
      <c r="A192" t="s">
        <v>447</v>
      </c>
      <c r="B192" t="s">
        <v>1664</v>
      </c>
      <c r="C192" s="2">
        <v>44734</v>
      </c>
      <c r="D192">
        <v>588</v>
      </c>
      <c r="E192">
        <v>294.36</v>
      </c>
      <c r="F192" t="s">
        <v>1665</v>
      </c>
    </row>
    <row r="193" spans="1:6">
      <c r="A193" t="s">
        <v>449</v>
      </c>
      <c r="B193" t="s">
        <v>1666</v>
      </c>
      <c r="C193" s="2">
        <v>44726</v>
      </c>
      <c r="D193">
        <v>838</v>
      </c>
      <c r="E193">
        <v>591.13</v>
      </c>
      <c r="F193" t="s">
        <v>1667</v>
      </c>
    </row>
    <row r="194" spans="1:6">
      <c r="A194" t="s">
        <v>451</v>
      </c>
      <c r="B194" t="s">
        <v>1668</v>
      </c>
      <c r="C194" s="2">
        <v>44743</v>
      </c>
      <c r="D194">
        <v>694</v>
      </c>
      <c r="E194">
        <v>503.03</v>
      </c>
      <c r="F194" t="s">
        <v>1661</v>
      </c>
    </row>
    <row r="195" spans="1:6">
      <c r="A195" t="s">
        <v>453</v>
      </c>
      <c r="B195" t="s">
        <v>1660</v>
      </c>
      <c r="C195" s="2">
        <v>44742</v>
      </c>
      <c r="D195">
        <v>444</v>
      </c>
      <c r="E195">
        <v>96.94</v>
      </c>
      <c r="F195" t="s">
        <v>1663</v>
      </c>
    </row>
    <row r="196" spans="1:6">
      <c r="A196" t="s">
        <v>455</v>
      </c>
      <c r="B196" t="s">
        <v>1662</v>
      </c>
      <c r="C196" s="2">
        <v>44747</v>
      </c>
      <c r="D196">
        <v>542</v>
      </c>
      <c r="E196">
        <v>180.24</v>
      </c>
      <c r="F196" t="s">
        <v>1665</v>
      </c>
    </row>
    <row r="197" spans="1:6">
      <c r="A197" t="s">
        <v>457</v>
      </c>
      <c r="B197" t="s">
        <v>1664</v>
      </c>
      <c r="C197" s="2">
        <v>44764</v>
      </c>
      <c r="D197">
        <v>522</v>
      </c>
      <c r="E197">
        <v>207.73</v>
      </c>
      <c r="F197" t="s">
        <v>1667</v>
      </c>
    </row>
    <row r="198" spans="1:6">
      <c r="A198" t="s">
        <v>459</v>
      </c>
      <c r="B198" t="s">
        <v>1666</v>
      </c>
      <c r="C198" s="2">
        <v>44735</v>
      </c>
      <c r="D198">
        <v>491</v>
      </c>
      <c r="E198">
        <v>410.09</v>
      </c>
      <c r="F198" t="s">
        <v>1661</v>
      </c>
    </row>
    <row r="199" spans="1:6">
      <c r="A199" t="s">
        <v>461</v>
      </c>
      <c r="B199" t="s">
        <v>1660</v>
      </c>
      <c r="C199" s="2">
        <v>44737</v>
      </c>
      <c r="D199">
        <v>753</v>
      </c>
      <c r="E199">
        <v>6.58</v>
      </c>
      <c r="F199" t="s">
        <v>1663</v>
      </c>
    </row>
    <row r="200" spans="1:6">
      <c r="A200" t="s">
        <v>463</v>
      </c>
      <c r="B200" t="s">
        <v>1662</v>
      </c>
      <c r="C200" s="2">
        <v>44749</v>
      </c>
      <c r="D200">
        <v>812</v>
      </c>
      <c r="E200">
        <v>771.99</v>
      </c>
      <c r="F200" t="s">
        <v>1665</v>
      </c>
    </row>
    <row r="201" spans="1:6">
      <c r="A201" t="s">
        <v>465</v>
      </c>
      <c r="B201" t="s">
        <v>1664</v>
      </c>
      <c r="C201" s="2">
        <v>44729</v>
      </c>
      <c r="D201">
        <v>884</v>
      </c>
      <c r="E201">
        <v>57.56</v>
      </c>
      <c r="F201" t="s">
        <v>1667</v>
      </c>
    </row>
    <row r="202" spans="1:6">
      <c r="A202" t="s">
        <v>467</v>
      </c>
      <c r="B202" t="s">
        <v>1666</v>
      </c>
      <c r="C202" s="2">
        <v>44738</v>
      </c>
      <c r="D202">
        <v>815</v>
      </c>
      <c r="E202">
        <v>356.75</v>
      </c>
      <c r="F202" t="s">
        <v>1661</v>
      </c>
    </row>
    <row r="203" spans="1:6">
      <c r="A203" t="s">
        <v>469</v>
      </c>
      <c r="B203" t="s">
        <v>1668</v>
      </c>
      <c r="C203" s="2">
        <v>44740</v>
      </c>
      <c r="D203">
        <v>422</v>
      </c>
      <c r="E203">
        <v>176.63</v>
      </c>
      <c r="F203" t="s">
        <v>1663</v>
      </c>
    </row>
    <row r="204" spans="1:6">
      <c r="A204" t="s">
        <v>471</v>
      </c>
      <c r="B204" t="s">
        <v>1669</v>
      </c>
      <c r="C204" s="2">
        <v>44755</v>
      </c>
      <c r="D204">
        <v>667</v>
      </c>
      <c r="E204">
        <v>258.95999999999998</v>
      </c>
      <c r="F204" t="s">
        <v>1665</v>
      </c>
    </row>
    <row r="205" spans="1:6">
      <c r="A205" t="s">
        <v>473</v>
      </c>
      <c r="B205" t="s">
        <v>1660</v>
      </c>
      <c r="C205" s="2">
        <v>44755</v>
      </c>
      <c r="D205">
        <v>247</v>
      </c>
      <c r="E205">
        <v>186.33</v>
      </c>
      <c r="F205" t="s">
        <v>1667</v>
      </c>
    </row>
    <row r="206" spans="1:6">
      <c r="A206" t="s">
        <v>475</v>
      </c>
      <c r="B206" t="s">
        <v>1662</v>
      </c>
      <c r="C206" s="2">
        <v>44764</v>
      </c>
      <c r="D206">
        <v>789</v>
      </c>
      <c r="E206">
        <v>485.93</v>
      </c>
      <c r="F206" t="s">
        <v>1661</v>
      </c>
    </row>
    <row r="207" spans="1:6">
      <c r="A207" t="s">
        <v>477</v>
      </c>
      <c r="B207" t="s">
        <v>1664</v>
      </c>
      <c r="C207" s="2">
        <v>44735</v>
      </c>
      <c r="D207">
        <v>403</v>
      </c>
      <c r="E207">
        <v>322.43</v>
      </c>
      <c r="F207" t="s">
        <v>1663</v>
      </c>
    </row>
    <row r="208" spans="1:6">
      <c r="A208" t="s">
        <v>479</v>
      </c>
      <c r="B208" t="s">
        <v>1666</v>
      </c>
      <c r="C208" s="2">
        <v>44734</v>
      </c>
      <c r="D208">
        <v>633</v>
      </c>
      <c r="E208">
        <v>431.89</v>
      </c>
      <c r="F208" t="s">
        <v>1665</v>
      </c>
    </row>
    <row r="209" spans="1:6">
      <c r="A209" t="s">
        <v>481</v>
      </c>
      <c r="B209" t="s">
        <v>1660</v>
      </c>
      <c r="C209" s="2">
        <v>44728</v>
      </c>
      <c r="D209">
        <v>755</v>
      </c>
      <c r="E209">
        <v>12.45</v>
      </c>
      <c r="F209" t="s">
        <v>1667</v>
      </c>
    </row>
    <row r="210" spans="1:6">
      <c r="A210" t="s">
        <v>483</v>
      </c>
      <c r="B210" t="s">
        <v>1662</v>
      </c>
      <c r="C210" s="2">
        <v>44739</v>
      </c>
      <c r="D210">
        <v>648</v>
      </c>
      <c r="E210">
        <v>149.55000000000001</v>
      </c>
      <c r="F210" t="s">
        <v>1661</v>
      </c>
    </row>
    <row r="211" spans="1:6">
      <c r="A211" t="s">
        <v>485</v>
      </c>
      <c r="B211" t="s">
        <v>1664</v>
      </c>
      <c r="C211" s="2">
        <v>44765</v>
      </c>
      <c r="D211">
        <v>770</v>
      </c>
      <c r="E211">
        <v>17.12</v>
      </c>
      <c r="F211" t="s">
        <v>1663</v>
      </c>
    </row>
    <row r="212" spans="1:6">
      <c r="A212" t="s">
        <v>487</v>
      </c>
      <c r="B212" t="s">
        <v>1666</v>
      </c>
      <c r="C212" s="2">
        <v>44740</v>
      </c>
      <c r="D212">
        <v>426</v>
      </c>
      <c r="E212">
        <v>307.60000000000002</v>
      </c>
      <c r="F212" t="s">
        <v>1665</v>
      </c>
    </row>
    <row r="213" spans="1:6">
      <c r="A213" t="s">
        <v>489</v>
      </c>
      <c r="B213" t="s">
        <v>1668</v>
      </c>
      <c r="C213" s="2">
        <v>44734</v>
      </c>
      <c r="D213">
        <v>444</v>
      </c>
      <c r="E213">
        <v>293.35000000000002</v>
      </c>
      <c r="F213" t="s">
        <v>1667</v>
      </c>
    </row>
    <row r="214" spans="1:6">
      <c r="A214" t="s">
        <v>491</v>
      </c>
      <c r="B214" t="s">
        <v>1660</v>
      </c>
      <c r="C214" s="2">
        <v>44727</v>
      </c>
      <c r="D214">
        <v>416</v>
      </c>
      <c r="E214">
        <v>58.45</v>
      </c>
      <c r="F214" t="s">
        <v>1661</v>
      </c>
    </row>
    <row r="215" spans="1:6">
      <c r="A215" t="s">
        <v>493</v>
      </c>
      <c r="B215" t="s">
        <v>1662</v>
      </c>
      <c r="C215" s="2">
        <v>44737</v>
      </c>
      <c r="D215">
        <v>492</v>
      </c>
      <c r="E215">
        <v>186.34</v>
      </c>
      <c r="F215" t="s">
        <v>1663</v>
      </c>
    </row>
    <row r="216" spans="1:6">
      <c r="A216" t="s">
        <v>495</v>
      </c>
      <c r="B216" t="s">
        <v>1664</v>
      </c>
      <c r="C216" s="2">
        <v>44747</v>
      </c>
      <c r="D216">
        <v>445</v>
      </c>
      <c r="E216">
        <v>318.25</v>
      </c>
      <c r="F216" t="s">
        <v>1665</v>
      </c>
    </row>
    <row r="217" spans="1:6">
      <c r="A217" t="s">
        <v>497</v>
      </c>
      <c r="B217" t="s">
        <v>1666</v>
      </c>
      <c r="C217" s="2">
        <v>44754</v>
      </c>
      <c r="D217">
        <v>804</v>
      </c>
      <c r="E217">
        <v>172.16</v>
      </c>
      <c r="F217" t="s">
        <v>1667</v>
      </c>
    </row>
    <row r="218" spans="1:6">
      <c r="A218" t="s">
        <v>499</v>
      </c>
      <c r="B218" t="s">
        <v>1660</v>
      </c>
      <c r="C218" s="2">
        <v>44760</v>
      </c>
      <c r="D218">
        <v>401</v>
      </c>
      <c r="E218">
        <v>65.989999999999995</v>
      </c>
      <c r="F218" t="s">
        <v>1661</v>
      </c>
    </row>
    <row r="219" spans="1:6">
      <c r="A219" t="s">
        <v>501</v>
      </c>
      <c r="B219" t="s">
        <v>1662</v>
      </c>
      <c r="C219" s="2">
        <v>44759</v>
      </c>
      <c r="D219">
        <v>260</v>
      </c>
      <c r="E219">
        <v>66.739999999999995</v>
      </c>
      <c r="F219" t="s">
        <v>1663</v>
      </c>
    </row>
    <row r="220" spans="1:6">
      <c r="A220" t="s">
        <v>503</v>
      </c>
      <c r="B220" t="s">
        <v>1664</v>
      </c>
      <c r="C220" s="2">
        <v>44735</v>
      </c>
      <c r="D220">
        <v>714</v>
      </c>
      <c r="E220">
        <v>643.75</v>
      </c>
      <c r="F220" t="s">
        <v>1665</v>
      </c>
    </row>
    <row r="221" spans="1:6">
      <c r="A221" t="s">
        <v>505</v>
      </c>
      <c r="B221" t="s">
        <v>1666</v>
      </c>
      <c r="C221" s="2">
        <v>44734</v>
      </c>
      <c r="D221">
        <v>255</v>
      </c>
      <c r="E221">
        <v>81.650000000000006</v>
      </c>
      <c r="F221" t="s">
        <v>1667</v>
      </c>
    </row>
    <row r="222" spans="1:6">
      <c r="A222" t="s">
        <v>507</v>
      </c>
      <c r="B222" t="s">
        <v>1668</v>
      </c>
      <c r="C222" s="2">
        <v>44753</v>
      </c>
      <c r="D222">
        <v>536</v>
      </c>
      <c r="E222">
        <v>72.36</v>
      </c>
      <c r="F222" t="s">
        <v>1661</v>
      </c>
    </row>
    <row r="223" spans="1:6">
      <c r="A223" t="s">
        <v>509</v>
      </c>
      <c r="B223" t="s">
        <v>1669</v>
      </c>
      <c r="C223" s="2">
        <v>44739</v>
      </c>
      <c r="D223">
        <v>473</v>
      </c>
      <c r="E223">
        <v>434.17</v>
      </c>
      <c r="F223" t="s">
        <v>1663</v>
      </c>
    </row>
    <row r="224" spans="1:6">
      <c r="A224" t="s">
        <v>511</v>
      </c>
      <c r="B224" t="s">
        <v>1660</v>
      </c>
      <c r="C224" s="2">
        <v>44740</v>
      </c>
      <c r="D224">
        <v>245</v>
      </c>
      <c r="E224">
        <v>240.16</v>
      </c>
      <c r="F224" t="s">
        <v>1665</v>
      </c>
    </row>
    <row r="225" spans="1:6">
      <c r="A225" t="s">
        <v>513</v>
      </c>
      <c r="B225" t="s">
        <v>1662</v>
      </c>
      <c r="C225" s="2">
        <v>44748</v>
      </c>
      <c r="D225">
        <v>487</v>
      </c>
      <c r="E225">
        <v>32.81</v>
      </c>
      <c r="F225" t="s">
        <v>1667</v>
      </c>
    </row>
    <row r="226" spans="1:6">
      <c r="A226" t="s">
        <v>515</v>
      </c>
      <c r="B226" t="s">
        <v>1664</v>
      </c>
      <c r="C226" s="2">
        <v>44731</v>
      </c>
      <c r="D226">
        <v>416</v>
      </c>
      <c r="E226">
        <v>207.62</v>
      </c>
      <c r="F226" t="s">
        <v>1661</v>
      </c>
    </row>
    <row r="227" spans="1:6">
      <c r="A227" t="s">
        <v>517</v>
      </c>
      <c r="B227" t="s">
        <v>1666</v>
      </c>
      <c r="C227" s="2">
        <v>44763</v>
      </c>
      <c r="D227">
        <v>688</v>
      </c>
      <c r="E227">
        <v>422.89</v>
      </c>
      <c r="F227" t="s">
        <v>1663</v>
      </c>
    </row>
    <row r="228" spans="1:6">
      <c r="A228" t="s">
        <v>519</v>
      </c>
      <c r="B228" t="s">
        <v>1660</v>
      </c>
      <c r="C228" s="2">
        <v>44733</v>
      </c>
      <c r="D228">
        <v>516</v>
      </c>
      <c r="E228">
        <v>488.35</v>
      </c>
      <c r="F228" t="s">
        <v>1665</v>
      </c>
    </row>
    <row r="229" spans="1:6">
      <c r="A229" t="s">
        <v>521</v>
      </c>
      <c r="B229" t="s">
        <v>1662</v>
      </c>
      <c r="C229" s="2">
        <v>44746</v>
      </c>
      <c r="D229">
        <v>630</v>
      </c>
      <c r="E229">
        <v>599.57000000000005</v>
      </c>
      <c r="F229" t="s">
        <v>1667</v>
      </c>
    </row>
    <row r="230" spans="1:6">
      <c r="A230" t="s">
        <v>523</v>
      </c>
      <c r="B230" t="s">
        <v>1664</v>
      </c>
      <c r="C230" s="2">
        <v>44755</v>
      </c>
      <c r="D230">
        <v>387</v>
      </c>
      <c r="E230">
        <v>216.57</v>
      </c>
      <c r="F230" t="s">
        <v>1661</v>
      </c>
    </row>
    <row r="231" spans="1:6">
      <c r="A231" t="s">
        <v>525</v>
      </c>
      <c r="B231" t="s">
        <v>1666</v>
      </c>
      <c r="C231" s="2">
        <v>44755</v>
      </c>
      <c r="D231">
        <v>292</v>
      </c>
      <c r="E231">
        <v>236.54</v>
      </c>
      <c r="F231" t="s">
        <v>1663</v>
      </c>
    </row>
    <row r="232" spans="1:6">
      <c r="A232" t="s">
        <v>527</v>
      </c>
      <c r="B232" t="s">
        <v>1660</v>
      </c>
      <c r="C232" s="2">
        <v>44727</v>
      </c>
      <c r="D232">
        <v>873</v>
      </c>
      <c r="E232">
        <v>309.48</v>
      </c>
      <c r="F232" t="s">
        <v>1665</v>
      </c>
    </row>
    <row r="233" spans="1:6">
      <c r="A233" t="s">
        <v>529</v>
      </c>
      <c r="B233" t="s">
        <v>1662</v>
      </c>
      <c r="C233" s="2">
        <v>44746</v>
      </c>
      <c r="D233">
        <v>704</v>
      </c>
      <c r="E233">
        <v>245.67</v>
      </c>
      <c r="F233" t="s">
        <v>1667</v>
      </c>
    </row>
    <row r="234" spans="1:6">
      <c r="A234" t="s">
        <v>531</v>
      </c>
      <c r="B234" t="s">
        <v>1664</v>
      </c>
      <c r="C234" s="2">
        <v>44740</v>
      </c>
      <c r="D234">
        <v>494</v>
      </c>
      <c r="E234">
        <v>258.27</v>
      </c>
      <c r="F234" t="s">
        <v>1661</v>
      </c>
    </row>
    <row r="235" spans="1:6">
      <c r="A235" t="s">
        <v>533</v>
      </c>
      <c r="B235" t="s">
        <v>1666</v>
      </c>
      <c r="C235" s="2">
        <v>44743</v>
      </c>
      <c r="D235">
        <v>421</v>
      </c>
      <c r="E235">
        <v>293.10000000000002</v>
      </c>
      <c r="F235" t="s">
        <v>1663</v>
      </c>
    </row>
    <row r="236" spans="1:6">
      <c r="A236" t="s">
        <v>535</v>
      </c>
      <c r="B236" t="s">
        <v>1660</v>
      </c>
      <c r="C236" s="2">
        <v>44737</v>
      </c>
      <c r="D236">
        <v>396</v>
      </c>
      <c r="E236">
        <v>220.33</v>
      </c>
      <c r="F236" t="s">
        <v>1665</v>
      </c>
    </row>
    <row r="237" spans="1:6">
      <c r="A237" t="s">
        <v>537</v>
      </c>
      <c r="B237" t="s">
        <v>1662</v>
      </c>
      <c r="C237" s="2">
        <v>44757</v>
      </c>
      <c r="D237">
        <v>532</v>
      </c>
      <c r="E237">
        <v>41.57</v>
      </c>
      <c r="F237" t="s">
        <v>1667</v>
      </c>
    </row>
    <row r="238" spans="1:6">
      <c r="A238" t="s">
        <v>539</v>
      </c>
      <c r="B238" t="s">
        <v>1664</v>
      </c>
      <c r="C238" s="2">
        <v>44745</v>
      </c>
      <c r="D238">
        <v>268</v>
      </c>
      <c r="E238">
        <v>101.26</v>
      </c>
      <c r="F238" t="s">
        <v>1661</v>
      </c>
    </row>
    <row r="239" spans="1:6">
      <c r="A239" t="s">
        <v>541</v>
      </c>
      <c r="B239" t="s">
        <v>1666</v>
      </c>
      <c r="C239" s="2">
        <v>44760</v>
      </c>
      <c r="D239">
        <v>898</v>
      </c>
      <c r="E239">
        <v>307.13</v>
      </c>
      <c r="F239" t="s">
        <v>1663</v>
      </c>
    </row>
    <row r="240" spans="1:6">
      <c r="A240" t="s">
        <v>543</v>
      </c>
      <c r="B240" t="s">
        <v>1668</v>
      </c>
      <c r="C240" s="2">
        <v>44750</v>
      </c>
      <c r="D240">
        <v>674</v>
      </c>
      <c r="E240">
        <v>625.05999999999995</v>
      </c>
      <c r="F240" t="s">
        <v>1665</v>
      </c>
    </row>
    <row r="241" spans="1:6">
      <c r="A241" t="s">
        <v>545</v>
      </c>
      <c r="B241" t="s">
        <v>1660</v>
      </c>
      <c r="C241" s="2">
        <v>44742</v>
      </c>
      <c r="D241">
        <v>418</v>
      </c>
      <c r="E241">
        <v>405.21</v>
      </c>
      <c r="F241" t="s">
        <v>1667</v>
      </c>
    </row>
    <row r="242" spans="1:6">
      <c r="A242" t="s">
        <v>547</v>
      </c>
      <c r="B242" t="s">
        <v>1662</v>
      </c>
      <c r="C242" s="2">
        <v>44754</v>
      </c>
      <c r="D242">
        <v>363</v>
      </c>
      <c r="E242">
        <v>88.6</v>
      </c>
      <c r="F242" t="s">
        <v>1661</v>
      </c>
    </row>
    <row r="243" spans="1:6">
      <c r="A243" t="s">
        <v>549</v>
      </c>
      <c r="B243" t="s">
        <v>1664</v>
      </c>
      <c r="C243" s="2">
        <v>44746</v>
      </c>
      <c r="D243">
        <v>381</v>
      </c>
      <c r="E243">
        <v>354.74</v>
      </c>
      <c r="F243" t="s">
        <v>1663</v>
      </c>
    </row>
    <row r="244" spans="1:6">
      <c r="A244" t="s">
        <v>551</v>
      </c>
      <c r="B244" t="s">
        <v>1666</v>
      </c>
      <c r="C244" s="2">
        <v>44752</v>
      </c>
      <c r="D244">
        <v>506</v>
      </c>
      <c r="E244">
        <v>341.91</v>
      </c>
      <c r="F244" t="s">
        <v>1665</v>
      </c>
    </row>
    <row r="245" spans="1:6">
      <c r="A245" t="s">
        <v>553</v>
      </c>
      <c r="B245" t="s">
        <v>1660</v>
      </c>
      <c r="C245" s="2">
        <v>44725</v>
      </c>
      <c r="D245">
        <v>478</v>
      </c>
      <c r="E245">
        <v>435.91</v>
      </c>
      <c r="F245" t="s">
        <v>1667</v>
      </c>
    </row>
    <row r="246" spans="1:6">
      <c r="A246" t="s">
        <v>555</v>
      </c>
      <c r="B246" t="s">
        <v>1662</v>
      </c>
      <c r="C246" s="2">
        <v>44734</v>
      </c>
      <c r="D246">
        <v>833</v>
      </c>
      <c r="E246">
        <v>385.8</v>
      </c>
      <c r="F246" t="s">
        <v>1661</v>
      </c>
    </row>
    <row r="247" spans="1:6">
      <c r="A247" t="s">
        <v>557</v>
      </c>
      <c r="B247" t="s">
        <v>1664</v>
      </c>
      <c r="C247" s="2">
        <v>44761</v>
      </c>
      <c r="D247">
        <v>327</v>
      </c>
      <c r="E247">
        <v>17.510000000000002</v>
      </c>
      <c r="F247" t="s">
        <v>1663</v>
      </c>
    </row>
    <row r="248" spans="1:6">
      <c r="A248" t="s">
        <v>559</v>
      </c>
      <c r="B248" t="s">
        <v>1666</v>
      </c>
      <c r="C248" s="2">
        <v>44735</v>
      </c>
      <c r="D248">
        <v>253</v>
      </c>
      <c r="E248">
        <v>25.65</v>
      </c>
      <c r="F248" t="s">
        <v>1665</v>
      </c>
    </row>
    <row r="249" spans="1:6">
      <c r="A249" t="s">
        <v>561</v>
      </c>
      <c r="B249" t="s">
        <v>1668</v>
      </c>
      <c r="C249" s="2">
        <v>44753</v>
      </c>
      <c r="D249">
        <v>591</v>
      </c>
      <c r="E249">
        <v>91.1</v>
      </c>
      <c r="F249" t="s">
        <v>1667</v>
      </c>
    </row>
    <row r="250" spans="1:6">
      <c r="A250" t="s">
        <v>563</v>
      </c>
      <c r="B250" t="s">
        <v>1669</v>
      </c>
      <c r="C250" s="2">
        <v>44732</v>
      </c>
      <c r="D250">
        <v>360</v>
      </c>
      <c r="E250">
        <v>356.94</v>
      </c>
      <c r="F250" t="s">
        <v>1661</v>
      </c>
    </row>
    <row r="251" spans="1:6">
      <c r="A251" t="s">
        <v>565</v>
      </c>
      <c r="B251" t="s">
        <v>1660</v>
      </c>
      <c r="C251" s="2">
        <v>44748</v>
      </c>
      <c r="D251">
        <v>290</v>
      </c>
      <c r="E251">
        <v>77.7</v>
      </c>
      <c r="F251" t="s">
        <v>1663</v>
      </c>
    </row>
    <row r="252" spans="1:6">
      <c r="A252" t="s">
        <v>567</v>
      </c>
      <c r="B252" t="s">
        <v>1662</v>
      </c>
      <c r="C252" s="2">
        <v>44731</v>
      </c>
      <c r="D252">
        <v>474</v>
      </c>
      <c r="E252">
        <v>319.48</v>
      </c>
      <c r="F252" t="s">
        <v>1665</v>
      </c>
    </row>
    <row r="253" spans="1:6">
      <c r="A253" t="s">
        <v>569</v>
      </c>
      <c r="B253" t="s">
        <v>1664</v>
      </c>
      <c r="C253" s="2">
        <v>44725</v>
      </c>
      <c r="D253">
        <v>375</v>
      </c>
      <c r="E253">
        <v>40.43</v>
      </c>
      <c r="F253" t="s">
        <v>1667</v>
      </c>
    </row>
    <row r="254" spans="1:6">
      <c r="A254" t="s">
        <v>571</v>
      </c>
      <c r="B254" t="s">
        <v>1666</v>
      </c>
      <c r="C254" s="2">
        <v>44753</v>
      </c>
      <c r="D254">
        <v>576</v>
      </c>
      <c r="E254">
        <v>37.92</v>
      </c>
      <c r="F254" t="s">
        <v>1661</v>
      </c>
    </row>
    <row r="255" spans="1:6">
      <c r="A255" t="s">
        <v>573</v>
      </c>
      <c r="B255" t="s">
        <v>1660</v>
      </c>
      <c r="C255" s="2">
        <v>44738</v>
      </c>
      <c r="D255">
        <v>778</v>
      </c>
      <c r="E255">
        <v>281.39</v>
      </c>
      <c r="F255" t="s">
        <v>1663</v>
      </c>
    </row>
    <row r="256" spans="1:6">
      <c r="A256" t="s">
        <v>575</v>
      </c>
      <c r="B256" t="s">
        <v>1662</v>
      </c>
      <c r="C256" s="2">
        <v>44762</v>
      </c>
      <c r="D256">
        <v>584</v>
      </c>
      <c r="E256">
        <v>91.17</v>
      </c>
      <c r="F256" t="s">
        <v>1665</v>
      </c>
    </row>
    <row r="257" spans="1:6">
      <c r="A257" t="s">
        <v>577</v>
      </c>
      <c r="B257" t="s">
        <v>1664</v>
      </c>
      <c r="C257" s="2">
        <v>44756</v>
      </c>
      <c r="D257">
        <v>467</v>
      </c>
      <c r="E257">
        <v>55.55</v>
      </c>
      <c r="F257" t="s">
        <v>1667</v>
      </c>
    </row>
    <row r="258" spans="1:6">
      <c r="A258" t="s">
        <v>579</v>
      </c>
      <c r="B258" t="s">
        <v>1666</v>
      </c>
      <c r="C258" s="2">
        <v>44744</v>
      </c>
      <c r="D258">
        <v>701</v>
      </c>
      <c r="E258">
        <v>660.2</v>
      </c>
      <c r="F258" t="s">
        <v>1661</v>
      </c>
    </row>
    <row r="259" spans="1:6">
      <c r="A259" t="s">
        <v>581</v>
      </c>
      <c r="B259" t="s">
        <v>1668</v>
      </c>
      <c r="C259" s="2">
        <v>44753</v>
      </c>
      <c r="D259">
        <v>308</v>
      </c>
      <c r="E259">
        <v>253.26</v>
      </c>
      <c r="F259" t="s">
        <v>1663</v>
      </c>
    </row>
    <row r="260" spans="1:6">
      <c r="A260" t="s">
        <v>583</v>
      </c>
      <c r="B260" t="s">
        <v>1660</v>
      </c>
      <c r="C260" s="2">
        <v>44762</v>
      </c>
      <c r="D260">
        <v>722</v>
      </c>
      <c r="E260">
        <v>11.18</v>
      </c>
      <c r="F260" t="s">
        <v>1665</v>
      </c>
    </row>
    <row r="261" spans="1:6">
      <c r="A261" t="s">
        <v>585</v>
      </c>
      <c r="B261" t="s">
        <v>1662</v>
      </c>
      <c r="C261" s="2">
        <v>44740</v>
      </c>
      <c r="D261">
        <v>204</v>
      </c>
      <c r="E261">
        <v>116.29</v>
      </c>
      <c r="F261" t="s">
        <v>1667</v>
      </c>
    </row>
    <row r="262" spans="1:6">
      <c r="A262" t="s">
        <v>587</v>
      </c>
      <c r="B262" t="s">
        <v>1664</v>
      </c>
      <c r="C262" s="2">
        <v>44729</v>
      </c>
      <c r="D262">
        <v>660</v>
      </c>
      <c r="E262">
        <v>146.32</v>
      </c>
      <c r="F262" t="s">
        <v>1661</v>
      </c>
    </row>
    <row r="263" spans="1:6">
      <c r="A263" t="s">
        <v>589</v>
      </c>
      <c r="B263" t="s">
        <v>1666</v>
      </c>
      <c r="C263" s="2">
        <v>44727</v>
      </c>
      <c r="D263">
        <v>786</v>
      </c>
      <c r="E263">
        <v>128.34</v>
      </c>
      <c r="F263" t="s">
        <v>1663</v>
      </c>
    </row>
    <row r="264" spans="1:6">
      <c r="A264" t="s">
        <v>591</v>
      </c>
      <c r="B264" t="s">
        <v>1660</v>
      </c>
      <c r="C264" s="2">
        <v>44734</v>
      </c>
      <c r="D264">
        <v>635</v>
      </c>
      <c r="E264">
        <v>453.6</v>
      </c>
      <c r="F264" t="s">
        <v>1665</v>
      </c>
    </row>
    <row r="265" spans="1:6">
      <c r="A265" t="s">
        <v>593</v>
      </c>
      <c r="B265" t="s">
        <v>1662</v>
      </c>
      <c r="C265" s="2">
        <v>44744</v>
      </c>
      <c r="D265">
        <v>434</v>
      </c>
      <c r="E265">
        <v>252.38</v>
      </c>
      <c r="F265" t="s">
        <v>1667</v>
      </c>
    </row>
    <row r="266" spans="1:6">
      <c r="A266" t="s">
        <v>595</v>
      </c>
      <c r="B266" t="s">
        <v>1664</v>
      </c>
      <c r="C266" s="2">
        <v>44737</v>
      </c>
      <c r="D266">
        <v>270</v>
      </c>
      <c r="E266">
        <v>253.87</v>
      </c>
      <c r="F266" t="s">
        <v>1661</v>
      </c>
    </row>
    <row r="267" spans="1:6">
      <c r="A267" t="s">
        <v>597</v>
      </c>
      <c r="B267" t="s">
        <v>1666</v>
      </c>
      <c r="C267" s="2">
        <v>44752</v>
      </c>
      <c r="D267">
        <v>360</v>
      </c>
      <c r="E267">
        <v>308.51</v>
      </c>
      <c r="F267" t="s">
        <v>1663</v>
      </c>
    </row>
    <row r="268" spans="1:6">
      <c r="A268" t="s">
        <v>599</v>
      </c>
      <c r="B268" t="s">
        <v>1668</v>
      </c>
      <c r="C268" s="2">
        <v>44736</v>
      </c>
      <c r="D268">
        <v>352</v>
      </c>
      <c r="E268">
        <v>259.45</v>
      </c>
      <c r="F268" t="s">
        <v>1665</v>
      </c>
    </row>
    <row r="269" spans="1:6">
      <c r="A269" t="s">
        <v>601</v>
      </c>
      <c r="B269" t="s">
        <v>1669</v>
      </c>
      <c r="C269" s="2">
        <v>44752</v>
      </c>
      <c r="D269">
        <v>477</v>
      </c>
      <c r="E269">
        <v>474.89</v>
      </c>
      <c r="F269" t="s">
        <v>1667</v>
      </c>
    </row>
    <row r="270" spans="1:6">
      <c r="A270" t="s">
        <v>603</v>
      </c>
      <c r="B270" t="s">
        <v>1660</v>
      </c>
      <c r="C270" s="2">
        <v>44759</v>
      </c>
      <c r="D270">
        <v>578</v>
      </c>
      <c r="E270">
        <v>475.91</v>
      </c>
      <c r="F270" t="s">
        <v>1661</v>
      </c>
    </row>
    <row r="271" spans="1:6">
      <c r="A271" t="s">
        <v>605</v>
      </c>
      <c r="B271" t="s">
        <v>1662</v>
      </c>
      <c r="C271" s="2">
        <v>44763</v>
      </c>
      <c r="D271">
        <v>851</v>
      </c>
      <c r="E271">
        <v>182.37</v>
      </c>
      <c r="F271" t="s">
        <v>1663</v>
      </c>
    </row>
    <row r="272" spans="1:6">
      <c r="A272" t="s">
        <v>607</v>
      </c>
      <c r="B272" t="s">
        <v>1664</v>
      </c>
      <c r="C272" s="2">
        <v>44763</v>
      </c>
      <c r="D272">
        <v>391</v>
      </c>
      <c r="E272">
        <v>385.46</v>
      </c>
      <c r="F272" t="s">
        <v>1665</v>
      </c>
    </row>
    <row r="273" spans="1:6">
      <c r="A273" t="s">
        <v>609</v>
      </c>
      <c r="B273" t="s">
        <v>1666</v>
      </c>
      <c r="C273" s="2">
        <v>44750</v>
      </c>
      <c r="D273">
        <v>722</v>
      </c>
      <c r="E273">
        <v>15.01</v>
      </c>
      <c r="F273" t="s">
        <v>1667</v>
      </c>
    </row>
    <row r="274" spans="1:6">
      <c r="A274" t="s">
        <v>611</v>
      </c>
      <c r="B274" t="s">
        <v>1660</v>
      </c>
      <c r="C274" s="2">
        <v>44751</v>
      </c>
      <c r="D274">
        <v>560</v>
      </c>
      <c r="E274">
        <v>226.42</v>
      </c>
      <c r="F274" t="s">
        <v>1661</v>
      </c>
    </row>
    <row r="275" spans="1:6">
      <c r="A275" t="s">
        <v>613</v>
      </c>
      <c r="B275" t="s">
        <v>1662</v>
      </c>
      <c r="C275" s="2">
        <v>44736</v>
      </c>
      <c r="D275">
        <v>363</v>
      </c>
      <c r="E275">
        <v>313.02</v>
      </c>
      <c r="F275" t="s">
        <v>1663</v>
      </c>
    </row>
    <row r="276" spans="1:6">
      <c r="A276" t="s">
        <v>615</v>
      </c>
      <c r="B276" t="s">
        <v>1664</v>
      </c>
      <c r="C276" s="2">
        <v>44737</v>
      </c>
      <c r="D276">
        <v>745</v>
      </c>
      <c r="E276">
        <v>151</v>
      </c>
      <c r="F276" t="s">
        <v>1665</v>
      </c>
    </row>
    <row r="277" spans="1:6">
      <c r="A277" t="s">
        <v>617</v>
      </c>
      <c r="B277" t="s">
        <v>1666</v>
      </c>
      <c r="C277" s="2">
        <v>44744</v>
      </c>
      <c r="D277">
        <v>396</v>
      </c>
      <c r="E277">
        <v>169.18</v>
      </c>
      <c r="F277" t="s">
        <v>1667</v>
      </c>
    </row>
    <row r="278" spans="1:6">
      <c r="A278" t="s">
        <v>619</v>
      </c>
      <c r="B278" t="s">
        <v>1660</v>
      </c>
      <c r="C278" s="2">
        <v>44735</v>
      </c>
      <c r="D278">
        <v>827</v>
      </c>
      <c r="E278">
        <v>720.39</v>
      </c>
      <c r="F278" t="s">
        <v>1661</v>
      </c>
    </row>
    <row r="279" spans="1:6">
      <c r="A279" t="s">
        <v>621</v>
      </c>
      <c r="B279" t="s">
        <v>1662</v>
      </c>
      <c r="C279" s="2">
        <v>44751</v>
      </c>
      <c r="D279">
        <v>349</v>
      </c>
      <c r="E279">
        <v>9.1999999999999993</v>
      </c>
      <c r="F279" t="s">
        <v>1663</v>
      </c>
    </row>
    <row r="280" spans="1:6">
      <c r="A280" t="s">
        <v>623</v>
      </c>
      <c r="B280" t="s">
        <v>1664</v>
      </c>
      <c r="C280" s="2">
        <v>44726</v>
      </c>
      <c r="D280">
        <v>445</v>
      </c>
      <c r="E280">
        <v>346.07</v>
      </c>
      <c r="F280" t="s">
        <v>1665</v>
      </c>
    </row>
    <row r="281" spans="1:6">
      <c r="A281" t="s">
        <v>625</v>
      </c>
      <c r="B281" t="s">
        <v>1666</v>
      </c>
      <c r="C281" s="2">
        <v>44749</v>
      </c>
      <c r="D281">
        <v>245</v>
      </c>
      <c r="E281">
        <v>168.28</v>
      </c>
      <c r="F281" t="s">
        <v>1667</v>
      </c>
    </row>
    <row r="282" spans="1:6">
      <c r="A282" t="s">
        <v>627</v>
      </c>
      <c r="B282" t="s">
        <v>1660</v>
      </c>
      <c r="C282" s="2">
        <v>44734</v>
      </c>
      <c r="D282">
        <v>895</v>
      </c>
      <c r="E282">
        <v>521.51</v>
      </c>
      <c r="F282" t="s">
        <v>1661</v>
      </c>
    </row>
    <row r="283" spans="1:6">
      <c r="A283" t="s">
        <v>629</v>
      </c>
      <c r="B283" t="s">
        <v>1662</v>
      </c>
      <c r="C283" s="2">
        <v>44726</v>
      </c>
      <c r="D283">
        <v>763</v>
      </c>
      <c r="E283">
        <v>338.32</v>
      </c>
      <c r="F283" t="s">
        <v>1663</v>
      </c>
    </row>
    <row r="284" spans="1:6">
      <c r="A284" t="s">
        <v>631</v>
      </c>
      <c r="B284" t="s">
        <v>1664</v>
      </c>
      <c r="C284" s="2">
        <v>44743</v>
      </c>
      <c r="D284">
        <v>342</v>
      </c>
      <c r="E284">
        <v>43.01</v>
      </c>
      <c r="F284" t="s">
        <v>1665</v>
      </c>
    </row>
    <row r="285" spans="1:6">
      <c r="A285" t="s">
        <v>633</v>
      </c>
      <c r="B285" t="s">
        <v>1666</v>
      </c>
      <c r="C285" s="2">
        <v>44742</v>
      </c>
      <c r="D285">
        <v>796</v>
      </c>
      <c r="E285">
        <v>465.22</v>
      </c>
      <c r="F285" t="s">
        <v>1667</v>
      </c>
    </row>
    <row r="286" spans="1:6">
      <c r="A286" t="s">
        <v>635</v>
      </c>
      <c r="B286" t="s">
        <v>1668</v>
      </c>
      <c r="C286" s="2">
        <v>44747</v>
      </c>
      <c r="D286">
        <v>772</v>
      </c>
      <c r="E286">
        <v>156.49</v>
      </c>
      <c r="F286" t="s">
        <v>1661</v>
      </c>
    </row>
    <row r="287" spans="1:6">
      <c r="A287" t="s">
        <v>637</v>
      </c>
      <c r="B287" t="s">
        <v>1660</v>
      </c>
      <c r="C287" s="2">
        <v>44764</v>
      </c>
      <c r="D287">
        <v>320</v>
      </c>
      <c r="E287">
        <v>110.69</v>
      </c>
      <c r="F287" t="s">
        <v>1663</v>
      </c>
    </row>
    <row r="288" spans="1:6">
      <c r="A288" t="s">
        <v>639</v>
      </c>
      <c r="B288" t="s">
        <v>1662</v>
      </c>
      <c r="C288" s="2">
        <v>44735</v>
      </c>
      <c r="D288">
        <v>747</v>
      </c>
      <c r="E288">
        <v>335.13</v>
      </c>
      <c r="F288" t="s">
        <v>1665</v>
      </c>
    </row>
    <row r="289" spans="1:6">
      <c r="A289" t="s">
        <v>641</v>
      </c>
      <c r="B289" t="s">
        <v>1664</v>
      </c>
      <c r="C289" s="2">
        <v>44737</v>
      </c>
      <c r="D289">
        <v>241</v>
      </c>
      <c r="E289">
        <v>99.29</v>
      </c>
      <c r="F289" t="s">
        <v>1667</v>
      </c>
    </row>
    <row r="290" spans="1:6">
      <c r="A290" t="s">
        <v>643</v>
      </c>
      <c r="B290" t="s">
        <v>1666</v>
      </c>
      <c r="C290" s="2">
        <v>44749</v>
      </c>
      <c r="D290">
        <v>695</v>
      </c>
      <c r="E290">
        <v>546.36</v>
      </c>
      <c r="F290" t="s">
        <v>1661</v>
      </c>
    </row>
    <row r="291" spans="1:6">
      <c r="A291" t="s">
        <v>645</v>
      </c>
      <c r="B291" t="s">
        <v>1660</v>
      </c>
      <c r="C291" s="2">
        <v>44729</v>
      </c>
      <c r="D291">
        <v>787</v>
      </c>
      <c r="E291">
        <v>646.08000000000004</v>
      </c>
      <c r="F291" t="s">
        <v>1663</v>
      </c>
    </row>
    <row r="292" spans="1:6">
      <c r="A292" t="s">
        <v>647</v>
      </c>
      <c r="B292" t="s">
        <v>1662</v>
      </c>
      <c r="C292" s="2">
        <v>44738</v>
      </c>
      <c r="D292">
        <v>832</v>
      </c>
      <c r="E292">
        <v>470.51</v>
      </c>
      <c r="F292" t="s">
        <v>1665</v>
      </c>
    </row>
    <row r="293" spans="1:6">
      <c r="A293" t="s">
        <v>649</v>
      </c>
      <c r="B293" t="s">
        <v>1664</v>
      </c>
      <c r="C293" s="2">
        <v>44740</v>
      </c>
      <c r="D293">
        <v>536</v>
      </c>
      <c r="E293">
        <v>257.29000000000002</v>
      </c>
      <c r="F293" t="s">
        <v>1667</v>
      </c>
    </row>
    <row r="294" spans="1:6">
      <c r="A294" t="s">
        <v>651</v>
      </c>
      <c r="B294" t="s">
        <v>1666</v>
      </c>
      <c r="C294" s="2">
        <v>44755</v>
      </c>
      <c r="D294">
        <v>531</v>
      </c>
      <c r="E294">
        <v>428.54</v>
      </c>
      <c r="F294" t="s">
        <v>1661</v>
      </c>
    </row>
    <row r="295" spans="1:6">
      <c r="A295" t="s">
        <v>653</v>
      </c>
      <c r="B295" t="s">
        <v>1668</v>
      </c>
      <c r="C295" s="2">
        <v>44755</v>
      </c>
      <c r="D295">
        <v>606</v>
      </c>
      <c r="E295">
        <v>81.650000000000006</v>
      </c>
      <c r="F295" t="s">
        <v>1663</v>
      </c>
    </row>
    <row r="296" spans="1:6">
      <c r="A296" t="s">
        <v>655</v>
      </c>
      <c r="B296" t="s">
        <v>1669</v>
      </c>
      <c r="C296" s="2">
        <v>44764</v>
      </c>
      <c r="D296">
        <v>682</v>
      </c>
      <c r="E296">
        <v>366.48</v>
      </c>
      <c r="F296" t="s">
        <v>1665</v>
      </c>
    </row>
    <row r="297" spans="1:6">
      <c r="A297" t="s">
        <v>657</v>
      </c>
      <c r="B297" t="s">
        <v>1660</v>
      </c>
      <c r="C297" s="2">
        <v>44735</v>
      </c>
      <c r="D297">
        <v>676</v>
      </c>
      <c r="E297">
        <v>584.70000000000005</v>
      </c>
      <c r="F297" t="s">
        <v>1667</v>
      </c>
    </row>
    <row r="298" spans="1:6">
      <c r="A298" t="s">
        <v>659</v>
      </c>
      <c r="B298" t="s">
        <v>1662</v>
      </c>
      <c r="C298" s="2">
        <v>44734</v>
      </c>
      <c r="D298">
        <v>617</v>
      </c>
      <c r="E298">
        <v>90.3</v>
      </c>
      <c r="F298" t="s">
        <v>1661</v>
      </c>
    </row>
    <row r="299" spans="1:6">
      <c r="A299" t="s">
        <v>661</v>
      </c>
      <c r="B299" t="s">
        <v>1664</v>
      </c>
      <c r="C299" s="2">
        <v>44728</v>
      </c>
      <c r="D299">
        <v>623</v>
      </c>
      <c r="E299">
        <v>311.07</v>
      </c>
      <c r="F299" t="s">
        <v>1663</v>
      </c>
    </row>
    <row r="300" spans="1:6">
      <c r="A300" t="s">
        <v>663</v>
      </c>
      <c r="B300" t="s">
        <v>1666</v>
      </c>
      <c r="C300" s="2">
        <v>44739</v>
      </c>
      <c r="D300">
        <v>281</v>
      </c>
      <c r="E300">
        <v>47.1</v>
      </c>
      <c r="F300" t="s">
        <v>1665</v>
      </c>
    </row>
    <row r="301" spans="1:6">
      <c r="A301" t="s">
        <v>665</v>
      </c>
      <c r="B301" t="s">
        <v>1660</v>
      </c>
      <c r="C301" s="2">
        <v>44765</v>
      </c>
      <c r="D301">
        <v>863</v>
      </c>
      <c r="E301">
        <v>492.26</v>
      </c>
      <c r="F301" t="s">
        <v>1667</v>
      </c>
    </row>
    <row r="302" spans="1:6">
      <c r="A302" t="s">
        <v>667</v>
      </c>
      <c r="B302" t="s">
        <v>1662</v>
      </c>
      <c r="C302" s="2">
        <v>44740</v>
      </c>
      <c r="D302">
        <v>437</v>
      </c>
      <c r="E302">
        <v>154.01</v>
      </c>
      <c r="F302" t="s">
        <v>1661</v>
      </c>
    </row>
    <row r="303" spans="1:6">
      <c r="A303" t="s">
        <v>669</v>
      </c>
      <c r="B303" t="s">
        <v>1664</v>
      </c>
      <c r="C303" s="2">
        <v>44734</v>
      </c>
      <c r="D303">
        <v>402</v>
      </c>
      <c r="E303">
        <v>45.06</v>
      </c>
      <c r="F303" t="s">
        <v>1663</v>
      </c>
    </row>
    <row r="304" spans="1:6">
      <c r="A304" t="s">
        <v>671</v>
      </c>
      <c r="B304" t="s">
        <v>1666</v>
      </c>
      <c r="C304" s="2">
        <v>44727</v>
      </c>
      <c r="D304">
        <v>591</v>
      </c>
      <c r="E304">
        <v>341.83</v>
      </c>
      <c r="F304" t="s">
        <v>1665</v>
      </c>
    </row>
    <row r="305" spans="1:6">
      <c r="A305" t="s">
        <v>673</v>
      </c>
      <c r="B305" t="s">
        <v>1668</v>
      </c>
      <c r="C305" s="2">
        <v>44737</v>
      </c>
      <c r="D305">
        <v>613</v>
      </c>
      <c r="E305">
        <v>115.16</v>
      </c>
      <c r="F305" t="s">
        <v>1667</v>
      </c>
    </row>
    <row r="306" spans="1:6">
      <c r="A306" t="s">
        <v>675</v>
      </c>
      <c r="B306" t="s">
        <v>1660</v>
      </c>
      <c r="C306" s="2">
        <v>44747</v>
      </c>
      <c r="D306">
        <v>499</v>
      </c>
      <c r="E306">
        <v>345.49</v>
      </c>
      <c r="F306" t="s">
        <v>1661</v>
      </c>
    </row>
    <row r="307" spans="1:6">
      <c r="A307" t="s">
        <v>677</v>
      </c>
      <c r="B307" t="s">
        <v>1662</v>
      </c>
      <c r="C307" s="2">
        <v>44754</v>
      </c>
      <c r="D307">
        <v>761</v>
      </c>
      <c r="E307">
        <v>556.53</v>
      </c>
      <c r="F307" t="s">
        <v>1663</v>
      </c>
    </row>
    <row r="308" spans="1:6">
      <c r="A308" t="s">
        <v>679</v>
      </c>
      <c r="B308" t="s">
        <v>1664</v>
      </c>
      <c r="C308" s="2">
        <v>44760</v>
      </c>
      <c r="D308">
        <v>350</v>
      </c>
      <c r="E308">
        <v>138.78</v>
      </c>
      <c r="F308" t="s">
        <v>1665</v>
      </c>
    </row>
    <row r="309" spans="1:6">
      <c r="A309" t="s">
        <v>681</v>
      </c>
      <c r="B309" t="s">
        <v>1666</v>
      </c>
      <c r="C309" s="2">
        <v>44759</v>
      </c>
      <c r="D309">
        <v>386</v>
      </c>
      <c r="E309">
        <v>181.63</v>
      </c>
      <c r="F309" t="s">
        <v>1667</v>
      </c>
    </row>
    <row r="310" spans="1:6">
      <c r="A310" t="s">
        <v>683</v>
      </c>
      <c r="B310" t="s">
        <v>1660</v>
      </c>
      <c r="C310" s="2">
        <v>44735</v>
      </c>
      <c r="D310">
        <v>580</v>
      </c>
      <c r="E310">
        <v>523.30999999999995</v>
      </c>
      <c r="F310" t="s">
        <v>1661</v>
      </c>
    </row>
    <row r="311" spans="1:6">
      <c r="A311" t="s">
        <v>685</v>
      </c>
      <c r="B311" t="s">
        <v>1662</v>
      </c>
      <c r="C311" s="2">
        <v>44734</v>
      </c>
      <c r="D311">
        <v>238</v>
      </c>
      <c r="E311">
        <v>59.64</v>
      </c>
      <c r="F311" t="s">
        <v>1663</v>
      </c>
    </row>
    <row r="312" spans="1:6">
      <c r="A312" t="s">
        <v>687</v>
      </c>
      <c r="B312" t="s">
        <v>1664</v>
      </c>
      <c r="C312" s="2">
        <v>44753</v>
      </c>
      <c r="D312">
        <v>475</v>
      </c>
      <c r="E312">
        <v>270.24</v>
      </c>
      <c r="F312" t="s">
        <v>1665</v>
      </c>
    </row>
    <row r="313" spans="1:6">
      <c r="A313" t="s">
        <v>689</v>
      </c>
      <c r="B313" t="s">
        <v>1666</v>
      </c>
      <c r="C313" s="2">
        <v>44739</v>
      </c>
      <c r="D313">
        <v>339</v>
      </c>
      <c r="E313">
        <v>11.39</v>
      </c>
      <c r="F313" t="s">
        <v>1667</v>
      </c>
    </row>
    <row r="314" spans="1:6">
      <c r="A314" t="s">
        <v>691</v>
      </c>
      <c r="B314" t="s">
        <v>1668</v>
      </c>
      <c r="C314" s="2">
        <v>44740</v>
      </c>
      <c r="D314">
        <v>384</v>
      </c>
      <c r="E314">
        <v>45.31</v>
      </c>
      <c r="F314" t="s">
        <v>1661</v>
      </c>
    </row>
    <row r="315" spans="1:6">
      <c r="A315" t="s">
        <v>693</v>
      </c>
      <c r="B315" t="s">
        <v>1669</v>
      </c>
      <c r="C315" s="2">
        <v>44748</v>
      </c>
      <c r="D315">
        <v>544</v>
      </c>
      <c r="E315">
        <v>15.33</v>
      </c>
      <c r="F315" t="s">
        <v>1663</v>
      </c>
    </row>
    <row r="316" spans="1:6">
      <c r="A316" t="s">
        <v>695</v>
      </c>
      <c r="B316" t="s">
        <v>1660</v>
      </c>
      <c r="C316" s="2">
        <v>44731</v>
      </c>
      <c r="D316">
        <v>519</v>
      </c>
      <c r="E316">
        <v>347.43</v>
      </c>
      <c r="F316" t="s">
        <v>1665</v>
      </c>
    </row>
    <row r="317" spans="1:6">
      <c r="A317" t="s">
        <v>697</v>
      </c>
      <c r="B317" t="s">
        <v>1662</v>
      </c>
      <c r="C317" s="2">
        <v>44763</v>
      </c>
      <c r="D317">
        <v>535</v>
      </c>
      <c r="E317">
        <v>195</v>
      </c>
      <c r="F317" t="s">
        <v>1667</v>
      </c>
    </row>
    <row r="318" spans="1:6">
      <c r="A318" t="s">
        <v>699</v>
      </c>
      <c r="B318" t="s">
        <v>1664</v>
      </c>
      <c r="C318" s="2">
        <v>44733</v>
      </c>
      <c r="D318">
        <v>864</v>
      </c>
      <c r="E318">
        <v>133.19999999999999</v>
      </c>
      <c r="F318" t="s">
        <v>1661</v>
      </c>
    </row>
    <row r="319" spans="1:6">
      <c r="A319" t="s">
        <v>701</v>
      </c>
      <c r="B319" t="s">
        <v>1666</v>
      </c>
      <c r="C319" s="2">
        <v>44746</v>
      </c>
      <c r="D319">
        <v>507</v>
      </c>
      <c r="E319">
        <v>337.9</v>
      </c>
      <c r="F319" t="s">
        <v>1663</v>
      </c>
    </row>
    <row r="320" spans="1:6">
      <c r="A320" t="s">
        <v>703</v>
      </c>
      <c r="B320" t="s">
        <v>1660</v>
      </c>
      <c r="C320" s="2">
        <v>44755</v>
      </c>
      <c r="D320">
        <v>252</v>
      </c>
      <c r="E320">
        <v>174.35</v>
      </c>
      <c r="F320" t="s">
        <v>1665</v>
      </c>
    </row>
    <row r="321" spans="1:6">
      <c r="A321" t="s">
        <v>705</v>
      </c>
      <c r="B321" t="s">
        <v>1662</v>
      </c>
      <c r="C321" s="2">
        <v>44755</v>
      </c>
      <c r="D321">
        <v>485</v>
      </c>
      <c r="E321">
        <v>71.06</v>
      </c>
      <c r="F321" t="s">
        <v>1667</v>
      </c>
    </row>
    <row r="322" spans="1:6">
      <c r="A322" t="s">
        <v>707</v>
      </c>
      <c r="B322" t="s">
        <v>1664</v>
      </c>
      <c r="C322" s="2">
        <v>44727</v>
      </c>
      <c r="D322">
        <v>215</v>
      </c>
      <c r="E322">
        <v>211.87</v>
      </c>
      <c r="F322" t="s">
        <v>1661</v>
      </c>
    </row>
    <row r="323" spans="1:6">
      <c r="A323" t="s">
        <v>709</v>
      </c>
      <c r="B323" t="s">
        <v>1666</v>
      </c>
      <c r="C323" s="2">
        <v>44746</v>
      </c>
      <c r="D323">
        <v>679</v>
      </c>
      <c r="E323">
        <v>217.91</v>
      </c>
      <c r="F323" t="s">
        <v>1663</v>
      </c>
    </row>
    <row r="324" spans="1:6">
      <c r="A324" t="s">
        <v>711</v>
      </c>
      <c r="B324" t="s">
        <v>1660</v>
      </c>
      <c r="C324" s="2">
        <v>44740</v>
      </c>
      <c r="D324">
        <v>561</v>
      </c>
      <c r="E324">
        <v>530.12</v>
      </c>
      <c r="F324" t="s">
        <v>1665</v>
      </c>
    </row>
    <row r="325" spans="1:6">
      <c r="A325" t="s">
        <v>713</v>
      </c>
      <c r="B325" t="s">
        <v>1662</v>
      </c>
      <c r="C325" s="2">
        <v>44743</v>
      </c>
      <c r="D325">
        <v>396</v>
      </c>
      <c r="E325">
        <v>201.6</v>
      </c>
      <c r="F325" t="s">
        <v>1667</v>
      </c>
    </row>
    <row r="326" spans="1:6">
      <c r="A326" t="s">
        <v>715</v>
      </c>
      <c r="B326" t="s">
        <v>1664</v>
      </c>
      <c r="C326" s="2">
        <v>44737</v>
      </c>
      <c r="D326">
        <v>560</v>
      </c>
      <c r="E326">
        <v>369.94</v>
      </c>
      <c r="F326" t="s">
        <v>1661</v>
      </c>
    </row>
    <row r="327" spans="1:6">
      <c r="A327" t="s">
        <v>717</v>
      </c>
      <c r="B327" t="s">
        <v>1666</v>
      </c>
      <c r="C327" s="2">
        <v>44757</v>
      </c>
      <c r="D327">
        <v>592</v>
      </c>
      <c r="E327">
        <v>530.53</v>
      </c>
      <c r="F327" t="s">
        <v>1663</v>
      </c>
    </row>
    <row r="328" spans="1:6">
      <c r="A328" t="s">
        <v>719</v>
      </c>
      <c r="B328" t="s">
        <v>1660</v>
      </c>
      <c r="C328" s="2">
        <v>44745</v>
      </c>
      <c r="D328">
        <v>511</v>
      </c>
      <c r="E328">
        <v>68.45</v>
      </c>
      <c r="F328" t="s">
        <v>1665</v>
      </c>
    </row>
    <row r="329" spans="1:6">
      <c r="A329" t="s">
        <v>721</v>
      </c>
      <c r="B329" t="s">
        <v>1662</v>
      </c>
      <c r="C329" s="2">
        <v>44760</v>
      </c>
      <c r="D329">
        <v>891</v>
      </c>
      <c r="E329">
        <v>340.71</v>
      </c>
      <c r="F329" t="s">
        <v>1667</v>
      </c>
    </row>
    <row r="330" spans="1:6">
      <c r="A330" t="s">
        <v>723</v>
      </c>
      <c r="B330" t="s">
        <v>1664</v>
      </c>
      <c r="C330" s="2">
        <v>44750</v>
      </c>
      <c r="D330">
        <v>306</v>
      </c>
      <c r="E330">
        <v>46.13</v>
      </c>
      <c r="F330" t="s">
        <v>1661</v>
      </c>
    </row>
    <row r="331" spans="1:6">
      <c r="A331" t="s">
        <v>725</v>
      </c>
      <c r="B331" t="s">
        <v>1666</v>
      </c>
      <c r="C331" s="2">
        <v>44742</v>
      </c>
      <c r="D331">
        <v>611</v>
      </c>
      <c r="E331">
        <v>588.98</v>
      </c>
      <c r="F331" t="s">
        <v>1663</v>
      </c>
    </row>
    <row r="332" spans="1:6">
      <c r="A332" t="s">
        <v>727</v>
      </c>
      <c r="B332" t="s">
        <v>1668</v>
      </c>
      <c r="C332" s="2">
        <v>44754</v>
      </c>
      <c r="D332">
        <v>334</v>
      </c>
      <c r="E332">
        <v>313.61</v>
      </c>
      <c r="F332" t="s">
        <v>1665</v>
      </c>
    </row>
    <row r="333" spans="1:6">
      <c r="A333" t="s">
        <v>729</v>
      </c>
      <c r="B333" t="s">
        <v>1660</v>
      </c>
      <c r="C333" s="2">
        <v>44746</v>
      </c>
      <c r="D333">
        <v>484</v>
      </c>
      <c r="E333">
        <v>437.23</v>
      </c>
      <c r="F333" t="s">
        <v>1667</v>
      </c>
    </row>
    <row r="334" spans="1:6">
      <c r="A334" t="s">
        <v>731</v>
      </c>
      <c r="B334" t="s">
        <v>1662</v>
      </c>
      <c r="C334" s="2">
        <v>44752</v>
      </c>
      <c r="D334">
        <v>384</v>
      </c>
      <c r="E334">
        <v>238.89</v>
      </c>
      <c r="F334" t="s">
        <v>1661</v>
      </c>
    </row>
    <row r="335" spans="1:6">
      <c r="A335" t="s">
        <v>733</v>
      </c>
      <c r="B335" t="s">
        <v>1664</v>
      </c>
      <c r="C335" s="2">
        <v>44725</v>
      </c>
      <c r="D335">
        <v>627</v>
      </c>
      <c r="E335">
        <v>38.68</v>
      </c>
      <c r="F335" t="s">
        <v>1663</v>
      </c>
    </row>
    <row r="336" spans="1:6">
      <c r="A336" t="s">
        <v>735</v>
      </c>
      <c r="B336" t="s">
        <v>1666</v>
      </c>
      <c r="C336" s="2">
        <v>44734</v>
      </c>
      <c r="D336">
        <v>885</v>
      </c>
      <c r="E336">
        <v>435.54</v>
      </c>
      <c r="F336" t="s">
        <v>1665</v>
      </c>
    </row>
    <row r="337" spans="1:6">
      <c r="A337" t="s">
        <v>737</v>
      </c>
      <c r="B337" t="s">
        <v>1660</v>
      </c>
      <c r="C337" s="2">
        <v>44761</v>
      </c>
      <c r="D337">
        <v>592</v>
      </c>
      <c r="E337">
        <v>411.76</v>
      </c>
      <c r="F337" t="s">
        <v>1667</v>
      </c>
    </row>
    <row r="338" spans="1:6">
      <c r="A338" t="s">
        <v>739</v>
      </c>
      <c r="B338" t="s">
        <v>1662</v>
      </c>
      <c r="C338" s="2">
        <v>44735</v>
      </c>
      <c r="D338">
        <v>899</v>
      </c>
      <c r="E338">
        <v>490.22</v>
      </c>
      <c r="F338" t="s">
        <v>1661</v>
      </c>
    </row>
    <row r="339" spans="1:6">
      <c r="A339" t="s">
        <v>741</v>
      </c>
      <c r="B339" t="s">
        <v>1664</v>
      </c>
      <c r="C339" s="2">
        <v>44753</v>
      </c>
      <c r="D339">
        <v>501</v>
      </c>
      <c r="E339">
        <v>176.35</v>
      </c>
      <c r="F339" t="s">
        <v>1663</v>
      </c>
    </row>
    <row r="340" spans="1:6">
      <c r="A340" t="s">
        <v>743</v>
      </c>
      <c r="B340" t="s">
        <v>1666</v>
      </c>
      <c r="C340" s="2">
        <v>44732</v>
      </c>
      <c r="D340">
        <v>339</v>
      </c>
      <c r="E340">
        <v>20.440000000000001</v>
      </c>
      <c r="F340" t="s">
        <v>1665</v>
      </c>
    </row>
    <row r="341" spans="1:6">
      <c r="A341" t="s">
        <v>745</v>
      </c>
      <c r="B341" t="s">
        <v>1668</v>
      </c>
      <c r="C341" s="2">
        <v>44748</v>
      </c>
      <c r="D341">
        <v>677</v>
      </c>
      <c r="E341">
        <v>28.06</v>
      </c>
      <c r="F341" t="s">
        <v>1667</v>
      </c>
    </row>
    <row r="342" spans="1:6">
      <c r="A342" t="s">
        <v>747</v>
      </c>
      <c r="B342" t="s">
        <v>1669</v>
      </c>
      <c r="C342" s="2">
        <v>44731</v>
      </c>
      <c r="D342">
        <v>239</v>
      </c>
      <c r="E342">
        <v>70.55</v>
      </c>
      <c r="F342" t="s">
        <v>1661</v>
      </c>
    </row>
    <row r="343" spans="1:6">
      <c r="A343" t="s">
        <v>749</v>
      </c>
      <c r="B343" t="s">
        <v>1660</v>
      </c>
      <c r="C343" s="2">
        <v>44725</v>
      </c>
      <c r="D343">
        <v>290</v>
      </c>
      <c r="E343">
        <v>197.65</v>
      </c>
      <c r="F343" t="s">
        <v>1663</v>
      </c>
    </row>
    <row r="344" spans="1:6">
      <c r="A344" t="s">
        <v>751</v>
      </c>
      <c r="B344" t="s">
        <v>1662</v>
      </c>
      <c r="C344" s="2">
        <v>44753</v>
      </c>
      <c r="D344">
        <v>307</v>
      </c>
      <c r="E344">
        <v>161.59</v>
      </c>
      <c r="F344" t="s">
        <v>1665</v>
      </c>
    </row>
    <row r="345" spans="1:6">
      <c r="A345" t="s">
        <v>753</v>
      </c>
      <c r="B345" t="s">
        <v>1664</v>
      </c>
      <c r="C345" s="2">
        <v>44738</v>
      </c>
      <c r="D345">
        <v>800</v>
      </c>
      <c r="E345">
        <v>43.56</v>
      </c>
      <c r="F345" t="s">
        <v>1667</v>
      </c>
    </row>
    <row r="346" spans="1:6">
      <c r="A346" t="s">
        <v>755</v>
      </c>
      <c r="B346" t="s">
        <v>1666</v>
      </c>
      <c r="C346" s="2">
        <v>44762</v>
      </c>
      <c r="D346">
        <v>743</v>
      </c>
      <c r="E346">
        <v>708.46</v>
      </c>
      <c r="F346" t="s">
        <v>1661</v>
      </c>
    </row>
    <row r="347" spans="1:6">
      <c r="A347" t="s">
        <v>757</v>
      </c>
      <c r="B347" t="s">
        <v>1660</v>
      </c>
      <c r="C347" s="2">
        <v>44756</v>
      </c>
      <c r="D347">
        <v>281</v>
      </c>
      <c r="E347">
        <v>131.31</v>
      </c>
      <c r="F347" t="s">
        <v>1663</v>
      </c>
    </row>
    <row r="348" spans="1:6">
      <c r="A348" t="s">
        <v>759</v>
      </c>
      <c r="B348" t="s">
        <v>1662</v>
      </c>
      <c r="C348" s="2">
        <v>44744</v>
      </c>
      <c r="D348">
        <v>486</v>
      </c>
      <c r="E348">
        <v>292.33999999999997</v>
      </c>
      <c r="F348" t="s">
        <v>1665</v>
      </c>
    </row>
    <row r="349" spans="1:6">
      <c r="A349" t="s">
        <v>761</v>
      </c>
      <c r="B349" t="s">
        <v>1664</v>
      </c>
      <c r="C349" s="2">
        <v>44753</v>
      </c>
      <c r="D349">
        <v>855</v>
      </c>
      <c r="E349">
        <v>146.71</v>
      </c>
      <c r="F349" t="s">
        <v>1667</v>
      </c>
    </row>
    <row r="350" spans="1:6">
      <c r="A350" t="s">
        <v>763</v>
      </c>
      <c r="B350" t="s">
        <v>1666</v>
      </c>
      <c r="C350" s="2">
        <v>44762</v>
      </c>
      <c r="D350">
        <v>650</v>
      </c>
      <c r="E350">
        <v>290.76</v>
      </c>
      <c r="F350" t="s">
        <v>1661</v>
      </c>
    </row>
    <row r="351" spans="1:6">
      <c r="A351" t="s">
        <v>765</v>
      </c>
      <c r="B351" t="s">
        <v>1668</v>
      </c>
      <c r="C351" s="2">
        <v>44740</v>
      </c>
      <c r="D351">
        <v>587</v>
      </c>
      <c r="E351">
        <v>318.43</v>
      </c>
      <c r="F351" t="s">
        <v>1663</v>
      </c>
    </row>
    <row r="352" spans="1:6">
      <c r="A352" t="s">
        <v>767</v>
      </c>
      <c r="B352" t="s">
        <v>1660</v>
      </c>
      <c r="C352" s="2">
        <v>44729</v>
      </c>
      <c r="D352">
        <v>736</v>
      </c>
      <c r="E352">
        <v>371.57</v>
      </c>
      <c r="F352" t="s">
        <v>1665</v>
      </c>
    </row>
    <row r="353" spans="1:6">
      <c r="A353" t="s">
        <v>769</v>
      </c>
      <c r="B353" t="s">
        <v>1662</v>
      </c>
      <c r="C353" s="2">
        <v>44727</v>
      </c>
      <c r="D353">
        <v>895</v>
      </c>
      <c r="E353">
        <v>82.63</v>
      </c>
      <c r="F353" t="s">
        <v>1667</v>
      </c>
    </row>
    <row r="354" spans="1:6">
      <c r="A354" t="s">
        <v>771</v>
      </c>
      <c r="B354" t="s">
        <v>1664</v>
      </c>
      <c r="C354" s="2">
        <v>44734</v>
      </c>
      <c r="D354">
        <v>861</v>
      </c>
      <c r="E354">
        <v>300.56</v>
      </c>
      <c r="F354" t="s">
        <v>1661</v>
      </c>
    </row>
    <row r="355" spans="1:6">
      <c r="A355" t="s">
        <v>773</v>
      </c>
      <c r="B355" t="s">
        <v>1666</v>
      </c>
      <c r="C355" s="2">
        <v>44744</v>
      </c>
      <c r="D355">
        <v>268</v>
      </c>
      <c r="E355">
        <v>241.29</v>
      </c>
      <c r="F355" t="s">
        <v>1663</v>
      </c>
    </row>
    <row r="356" spans="1:6">
      <c r="A356" t="s">
        <v>775</v>
      </c>
      <c r="B356" t="s">
        <v>1660</v>
      </c>
      <c r="C356" s="2">
        <v>44737</v>
      </c>
      <c r="D356">
        <v>334</v>
      </c>
      <c r="E356">
        <v>60.29</v>
      </c>
      <c r="F356" t="s">
        <v>1665</v>
      </c>
    </row>
    <row r="357" spans="1:6">
      <c r="A357" t="s">
        <v>777</v>
      </c>
      <c r="B357" t="s">
        <v>1662</v>
      </c>
      <c r="C357" s="2">
        <v>44752</v>
      </c>
      <c r="D357">
        <v>277</v>
      </c>
      <c r="E357">
        <v>7.05</v>
      </c>
      <c r="F357" t="s">
        <v>1667</v>
      </c>
    </row>
    <row r="358" spans="1:6">
      <c r="A358" t="s">
        <v>779</v>
      </c>
      <c r="B358" t="s">
        <v>1664</v>
      </c>
      <c r="C358" s="2">
        <v>44736</v>
      </c>
      <c r="D358">
        <v>241</v>
      </c>
      <c r="E358">
        <v>191.95</v>
      </c>
      <c r="F358" t="s">
        <v>1661</v>
      </c>
    </row>
    <row r="359" spans="1:6">
      <c r="A359" t="s">
        <v>781</v>
      </c>
      <c r="B359" t="s">
        <v>1666</v>
      </c>
      <c r="C359" s="2">
        <v>44752</v>
      </c>
      <c r="D359">
        <v>839</v>
      </c>
      <c r="E359">
        <v>134.88999999999999</v>
      </c>
      <c r="F359" t="s">
        <v>1663</v>
      </c>
    </row>
    <row r="360" spans="1:6">
      <c r="A360" t="s">
        <v>783</v>
      </c>
      <c r="B360" t="s">
        <v>1668</v>
      </c>
      <c r="C360" s="2">
        <v>44759</v>
      </c>
      <c r="D360">
        <v>812</v>
      </c>
      <c r="E360">
        <v>200.52</v>
      </c>
      <c r="F360" t="s">
        <v>1665</v>
      </c>
    </row>
    <row r="361" spans="1:6">
      <c r="A361" t="s">
        <v>785</v>
      </c>
      <c r="B361" t="s">
        <v>1669</v>
      </c>
      <c r="C361" s="2">
        <v>44763</v>
      </c>
      <c r="D361">
        <v>541</v>
      </c>
      <c r="E361">
        <v>119.83</v>
      </c>
      <c r="F361" t="s">
        <v>1667</v>
      </c>
    </row>
    <row r="362" spans="1:6">
      <c r="A362" t="s">
        <v>787</v>
      </c>
      <c r="B362" t="s">
        <v>1660</v>
      </c>
      <c r="C362" s="2">
        <v>44763</v>
      </c>
      <c r="D362">
        <v>740</v>
      </c>
      <c r="E362">
        <v>528.79999999999995</v>
      </c>
      <c r="F362" t="s">
        <v>1661</v>
      </c>
    </row>
    <row r="363" spans="1:6">
      <c r="A363" t="s">
        <v>789</v>
      </c>
      <c r="B363" t="s">
        <v>1662</v>
      </c>
      <c r="C363" s="2">
        <v>44750</v>
      </c>
      <c r="D363">
        <v>881</v>
      </c>
      <c r="E363">
        <v>99.44</v>
      </c>
      <c r="F363" t="s">
        <v>1663</v>
      </c>
    </row>
    <row r="364" spans="1:6">
      <c r="A364" t="s">
        <v>791</v>
      </c>
      <c r="B364" t="s">
        <v>1664</v>
      </c>
      <c r="C364" s="2">
        <v>44751</v>
      </c>
      <c r="D364">
        <v>760</v>
      </c>
      <c r="E364">
        <v>49.62</v>
      </c>
      <c r="F364" t="s">
        <v>1665</v>
      </c>
    </row>
    <row r="365" spans="1:6">
      <c r="A365" t="s">
        <v>793</v>
      </c>
      <c r="B365" t="s">
        <v>1666</v>
      </c>
      <c r="C365" s="2">
        <v>44736</v>
      </c>
      <c r="D365">
        <v>814</v>
      </c>
      <c r="E365">
        <v>379.99</v>
      </c>
      <c r="F365" t="s">
        <v>1667</v>
      </c>
    </row>
    <row r="366" spans="1:6">
      <c r="A366" t="s">
        <v>795</v>
      </c>
      <c r="B366" t="s">
        <v>1660</v>
      </c>
      <c r="C366" s="2">
        <v>44737</v>
      </c>
      <c r="D366">
        <v>557</v>
      </c>
      <c r="E366">
        <v>513.57000000000005</v>
      </c>
      <c r="F366" t="s">
        <v>1661</v>
      </c>
    </row>
    <row r="367" spans="1:6">
      <c r="A367" t="s">
        <v>797</v>
      </c>
      <c r="B367" t="s">
        <v>1662</v>
      </c>
      <c r="C367" s="2">
        <v>44744</v>
      </c>
      <c r="D367">
        <v>567</v>
      </c>
      <c r="E367">
        <v>106.83</v>
      </c>
      <c r="F367" t="s">
        <v>1663</v>
      </c>
    </row>
    <row r="368" spans="1:6">
      <c r="A368" t="s">
        <v>799</v>
      </c>
      <c r="B368" t="s">
        <v>1664</v>
      </c>
      <c r="C368" s="2">
        <v>44735</v>
      </c>
      <c r="D368">
        <v>267</v>
      </c>
      <c r="E368">
        <v>74.36</v>
      </c>
      <c r="F368" t="s">
        <v>1665</v>
      </c>
    </row>
    <row r="369" spans="1:6">
      <c r="A369" t="s">
        <v>801</v>
      </c>
      <c r="B369" t="s">
        <v>1666</v>
      </c>
      <c r="C369" s="2">
        <v>44751</v>
      </c>
      <c r="D369">
        <v>726</v>
      </c>
      <c r="E369">
        <v>572.70000000000005</v>
      </c>
      <c r="F369" t="s">
        <v>1667</v>
      </c>
    </row>
    <row r="370" spans="1:6">
      <c r="A370" t="s">
        <v>803</v>
      </c>
      <c r="B370" t="s">
        <v>1660</v>
      </c>
      <c r="C370" s="2">
        <v>44726</v>
      </c>
      <c r="D370">
        <v>336</v>
      </c>
      <c r="E370">
        <v>61.49</v>
      </c>
      <c r="F370" t="s">
        <v>1661</v>
      </c>
    </row>
    <row r="371" spans="1:6">
      <c r="A371" t="s">
        <v>805</v>
      </c>
      <c r="B371" t="s">
        <v>1662</v>
      </c>
      <c r="C371" s="2">
        <v>44749</v>
      </c>
      <c r="D371">
        <v>639</v>
      </c>
      <c r="E371">
        <v>131.59</v>
      </c>
      <c r="F371" t="s">
        <v>1663</v>
      </c>
    </row>
    <row r="372" spans="1:6">
      <c r="A372" t="s">
        <v>807</v>
      </c>
      <c r="B372" t="s">
        <v>1664</v>
      </c>
      <c r="C372" s="2">
        <v>44734</v>
      </c>
      <c r="D372">
        <v>290</v>
      </c>
      <c r="E372">
        <v>6.18</v>
      </c>
      <c r="F372" t="s">
        <v>1665</v>
      </c>
    </row>
    <row r="373" spans="1:6">
      <c r="A373" t="s">
        <v>809</v>
      </c>
      <c r="B373" t="s">
        <v>1666</v>
      </c>
      <c r="C373" s="2">
        <v>44726</v>
      </c>
      <c r="D373">
        <v>305</v>
      </c>
      <c r="E373">
        <v>6.96</v>
      </c>
      <c r="F373" t="s">
        <v>1667</v>
      </c>
    </row>
    <row r="374" spans="1:6">
      <c r="A374" t="s">
        <v>811</v>
      </c>
      <c r="B374" t="s">
        <v>1660</v>
      </c>
      <c r="C374" s="2">
        <v>44743</v>
      </c>
      <c r="D374">
        <v>375</v>
      </c>
      <c r="E374">
        <v>249.19</v>
      </c>
      <c r="F374" t="s">
        <v>1661</v>
      </c>
    </row>
    <row r="375" spans="1:6">
      <c r="A375" t="s">
        <v>813</v>
      </c>
      <c r="B375" t="s">
        <v>1662</v>
      </c>
      <c r="C375" s="2">
        <v>44742</v>
      </c>
      <c r="D375">
        <v>698</v>
      </c>
      <c r="E375">
        <v>203.49</v>
      </c>
      <c r="F375" t="s">
        <v>1663</v>
      </c>
    </row>
    <row r="376" spans="1:6">
      <c r="A376" t="s">
        <v>815</v>
      </c>
      <c r="B376" t="s">
        <v>1664</v>
      </c>
      <c r="C376" s="2">
        <v>44747</v>
      </c>
      <c r="D376">
        <v>602</v>
      </c>
      <c r="E376">
        <v>335.22</v>
      </c>
      <c r="F376" t="s">
        <v>1665</v>
      </c>
    </row>
    <row r="377" spans="1:6">
      <c r="A377" t="s">
        <v>817</v>
      </c>
      <c r="B377" t="s">
        <v>1666</v>
      </c>
      <c r="C377" s="2">
        <v>44764</v>
      </c>
      <c r="D377">
        <v>869</v>
      </c>
      <c r="E377">
        <v>497.43</v>
      </c>
      <c r="F377" t="s">
        <v>1667</v>
      </c>
    </row>
    <row r="378" spans="1:6">
      <c r="A378" t="s">
        <v>819</v>
      </c>
      <c r="B378" t="s">
        <v>1668</v>
      </c>
      <c r="C378" s="2">
        <v>44735</v>
      </c>
      <c r="D378">
        <v>248</v>
      </c>
      <c r="E378">
        <v>21.39</v>
      </c>
      <c r="F378" t="s">
        <v>1661</v>
      </c>
    </row>
    <row r="379" spans="1:6">
      <c r="A379" t="s">
        <v>821</v>
      </c>
      <c r="B379" t="s">
        <v>1660</v>
      </c>
      <c r="C379" s="2">
        <v>44737</v>
      </c>
      <c r="D379">
        <v>622</v>
      </c>
      <c r="E379">
        <v>594.70000000000005</v>
      </c>
      <c r="F379" t="s">
        <v>1663</v>
      </c>
    </row>
    <row r="380" spans="1:6">
      <c r="A380" t="s">
        <v>823</v>
      </c>
      <c r="B380" t="s">
        <v>1662</v>
      </c>
      <c r="C380" s="2">
        <v>44749</v>
      </c>
      <c r="D380">
        <v>498</v>
      </c>
      <c r="E380">
        <v>122.28</v>
      </c>
      <c r="F380" t="s">
        <v>1665</v>
      </c>
    </row>
    <row r="381" spans="1:6">
      <c r="A381" t="s">
        <v>825</v>
      </c>
      <c r="B381" t="s">
        <v>1664</v>
      </c>
      <c r="C381" s="2">
        <v>44729</v>
      </c>
      <c r="D381">
        <v>896</v>
      </c>
      <c r="E381">
        <v>507.48</v>
      </c>
      <c r="F381" t="s">
        <v>1667</v>
      </c>
    </row>
    <row r="382" spans="1:6">
      <c r="A382" t="s">
        <v>827</v>
      </c>
      <c r="B382" t="s">
        <v>1666</v>
      </c>
      <c r="C382" s="2">
        <v>44738</v>
      </c>
      <c r="D382">
        <v>773</v>
      </c>
      <c r="E382">
        <v>34.93</v>
      </c>
      <c r="F382" t="s">
        <v>1661</v>
      </c>
    </row>
    <row r="383" spans="1:6">
      <c r="A383" t="s">
        <v>829</v>
      </c>
      <c r="B383" t="s">
        <v>1660</v>
      </c>
      <c r="C383" s="2">
        <v>44740</v>
      </c>
      <c r="D383">
        <v>840</v>
      </c>
      <c r="E383">
        <v>817.71</v>
      </c>
      <c r="F383" t="s">
        <v>1663</v>
      </c>
    </row>
    <row r="384" spans="1:6">
      <c r="A384" t="s">
        <v>831</v>
      </c>
      <c r="B384" t="s">
        <v>1662</v>
      </c>
      <c r="C384" s="2">
        <v>44755</v>
      </c>
      <c r="D384">
        <v>654</v>
      </c>
      <c r="E384">
        <v>371.04</v>
      </c>
      <c r="F384" t="s">
        <v>1665</v>
      </c>
    </row>
    <row r="385" spans="1:6">
      <c r="A385" t="s">
        <v>833</v>
      </c>
      <c r="B385" t="s">
        <v>1664</v>
      </c>
      <c r="C385" s="2">
        <v>44755</v>
      </c>
      <c r="D385">
        <v>831</v>
      </c>
      <c r="E385">
        <v>315.19</v>
      </c>
      <c r="F385" t="s">
        <v>1667</v>
      </c>
    </row>
    <row r="386" spans="1:6">
      <c r="A386" t="s">
        <v>835</v>
      </c>
      <c r="B386" t="s">
        <v>1666</v>
      </c>
      <c r="C386" s="2">
        <v>44764</v>
      </c>
      <c r="D386">
        <v>874</v>
      </c>
      <c r="E386">
        <v>549.45000000000005</v>
      </c>
      <c r="F386" t="s">
        <v>1661</v>
      </c>
    </row>
    <row r="387" spans="1:6">
      <c r="A387" t="s">
        <v>837</v>
      </c>
      <c r="B387" t="s">
        <v>1668</v>
      </c>
      <c r="C387" s="2">
        <v>44735</v>
      </c>
      <c r="D387">
        <v>564</v>
      </c>
      <c r="E387">
        <v>213.97</v>
      </c>
      <c r="F387" t="s">
        <v>1663</v>
      </c>
    </row>
    <row r="388" spans="1:6">
      <c r="A388" t="s">
        <v>839</v>
      </c>
      <c r="B388" t="s">
        <v>1669</v>
      </c>
      <c r="C388" s="2">
        <v>44734</v>
      </c>
      <c r="D388">
        <v>762</v>
      </c>
      <c r="E388">
        <v>273.5</v>
      </c>
      <c r="F388" t="s">
        <v>1665</v>
      </c>
    </row>
    <row r="389" spans="1:6">
      <c r="A389" t="s">
        <v>841</v>
      </c>
      <c r="B389" t="s">
        <v>1660</v>
      </c>
      <c r="C389" s="2">
        <v>44728</v>
      </c>
      <c r="D389">
        <v>862</v>
      </c>
      <c r="E389">
        <v>776.86</v>
      </c>
      <c r="F389" t="s">
        <v>1667</v>
      </c>
    </row>
    <row r="390" spans="1:6">
      <c r="A390" t="s">
        <v>843</v>
      </c>
      <c r="B390" t="s">
        <v>1662</v>
      </c>
      <c r="C390" s="2">
        <v>44739</v>
      </c>
      <c r="D390">
        <v>854</v>
      </c>
      <c r="E390">
        <v>322.7</v>
      </c>
      <c r="F390" t="s">
        <v>1661</v>
      </c>
    </row>
    <row r="391" spans="1:6">
      <c r="A391" t="s">
        <v>845</v>
      </c>
      <c r="B391" t="s">
        <v>1664</v>
      </c>
      <c r="C391" s="2">
        <v>44765</v>
      </c>
      <c r="D391">
        <v>427</v>
      </c>
      <c r="E391">
        <v>166.17</v>
      </c>
      <c r="F391" t="s">
        <v>1663</v>
      </c>
    </row>
    <row r="392" spans="1:6">
      <c r="A392" t="s">
        <v>847</v>
      </c>
      <c r="B392" t="s">
        <v>1666</v>
      </c>
      <c r="C392" s="2">
        <v>44740</v>
      </c>
      <c r="D392">
        <v>859</v>
      </c>
      <c r="E392">
        <v>521.54</v>
      </c>
      <c r="F392" t="s">
        <v>1665</v>
      </c>
    </row>
    <row r="393" spans="1:6">
      <c r="A393" t="s">
        <v>849</v>
      </c>
      <c r="B393" t="s">
        <v>1660</v>
      </c>
      <c r="C393" s="2">
        <v>44734</v>
      </c>
      <c r="D393">
        <v>536</v>
      </c>
      <c r="E393">
        <v>92.52</v>
      </c>
      <c r="F393" t="s">
        <v>1667</v>
      </c>
    </row>
    <row r="394" spans="1:6">
      <c r="A394" t="s">
        <v>851</v>
      </c>
      <c r="B394" t="s">
        <v>1662</v>
      </c>
      <c r="C394" s="2">
        <v>44727</v>
      </c>
      <c r="D394">
        <v>210</v>
      </c>
      <c r="E394">
        <v>7.24</v>
      </c>
      <c r="F394" t="s">
        <v>1661</v>
      </c>
    </row>
    <row r="395" spans="1:6">
      <c r="A395" t="s">
        <v>853</v>
      </c>
      <c r="B395" t="s">
        <v>1664</v>
      </c>
      <c r="C395" s="2">
        <v>44737</v>
      </c>
      <c r="D395">
        <v>568</v>
      </c>
      <c r="E395">
        <v>207.9</v>
      </c>
      <c r="F395" t="s">
        <v>1663</v>
      </c>
    </row>
    <row r="396" spans="1:6">
      <c r="A396" t="s">
        <v>855</v>
      </c>
      <c r="B396" t="s">
        <v>1666</v>
      </c>
      <c r="C396" s="2">
        <v>44747</v>
      </c>
      <c r="D396">
        <v>226</v>
      </c>
      <c r="E396">
        <v>83.35</v>
      </c>
      <c r="F396" t="s">
        <v>1665</v>
      </c>
    </row>
    <row r="397" spans="1:6">
      <c r="A397" t="s">
        <v>857</v>
      </c>
      <c r="B397" t="s">
        <v>1668</v>
      </c>
      <c r="C397" s="2">
        <v>44754</v>
      </c>
      <c r="D397">
        <v>857</v>
      </c>
      <c r="E397">
        <v>672.68</v>
      </c>
      <c r="F397" t="s">
        <v>1667</v>
      </c>
    </row>
    <row r="398" spans="1:6">
      <c r="A398" t="s">
        <v>859</v>
      </c>
      <c r="B398" t="s">
        <v>1660</v>
      </c>
      <c r="C398" s="2">
        <v>44760</v>
      </c>
      <c r="D398">
        <v>265</v>
      </c>
      <c r="E398">
        <v>237</v>
      </c>
      <c r="F398" t="s">
        <v>1661</v>
      </c>
    </row>
    <row r="399" spans="1:6">
      <c r="A399" t="s">
        <v>861</v>
      </c>
      <c r="B399" t="s">
        <v>1662</v>
      </c>
      <c r="C399" s="2">
        <v>44759</v>
      </c>
      <c r="D399">
        <v>355</v>
      </c>
      <c r="E399">
        <v>193.46</v>
      </c>
      <c r="F399" t="s">
        <v>1663</v>
      </c>
    </row>
    <row r="400" spans="1:6">
      <c r="A400" t="s">
        <v>863</v>
      </c>
      <c r="B400" t="s">
        <v>1664</v>
      </c>
      <c r="C400" s="2">
        <v>44735</v>
      </c>
      <c r="D400">
        <v>897</v>
      </c>
      <c r="E400">
        <v>757.46</v>
      </c>
      <c r="F400" t="s">
        <v>1665</v>
      </c>
    </row>
    <row r="401" spans="1:6">
      <c r="A401" t="s">
        <v>865</v>
      </c>
      <c r="B401" t="s">
        <v>1666</v>
      </c>
      <c r="C401" s="2">
        <v>44734</v>
      </c>
      <c r="D401">
        <v>482</v>
      </c>
      <c r="E401">
        <v>53.43</v>
      </c>
      <c r="F401" t="s">
        <v>1667</v>
      </c>
    </row>
    <row r="402" spans="1:6">
      <c r="A402" t="s">
        <v>867</v>
      </c>
      <c r="B402" t="s">
        <v>1660</v>
      </c>
      <c r="C402" s="2">
        <v>44753</v>
      </c>
      <c r="D402">
        <v>612</v>
      </c>
      <c r="E402">
        <v>162.97999999999999</v>
      </c>
      <c r="F402" t="s">
        <v>1661</v>
      </c>
    </row>
    <row r="403" spans="1:6">
      <c r="A403" t="s">
        <v>869</v>
      </c>
      <c r="B403" t="s">
        <v>1662</v>
      </c>
      <c r="C403" s="2">
        <v>44739</v>
      </c>
      <c r="D403">
        <v>777</v>
      </c>
      <c r="E403">
        <v>103.18</v>
      </c>
      <c r="F403" t="s">
        <v>1663</v>
      </c>
    </row>
    <row r="404" spans="1:6">
      <c r="A404" t="s">
        <v>871</v>
      </c>
      <c r="B404" t="s">
        <v>1664</v>
      </c>
      <c r="C404" s="2">
        <v>44740</v>
      </c>
      <c r="D404">
        <v>572</v>
      </c>
      <c r="E404">
        <v>118.95</v>
      </c>
      <c r="F404" t="s">
        <v>1665</v>
      </c>
    </row>
    <row r="405" spans="1:6">
      <c r="A405" t="s">
        <v>873</v>
      </c>
      <c r="B405" t="s">
        <v>1666</v>
      </c>
      <c r="C405" s="2">
        <v>44748</v>
      </c>
      <c r="D405">
        <v>692</v>
      </c>
      <c r="E405">
        <v>526.14</v>
      </c>
      <c r="F405" t="s">
        <v>1667</v>
      </c>
    </row>
    <row r="406" spans="1:6">
      <c r="A406" t="s">
        <v>875</v>
      </c>
      <c r="B406" t="s">
        <v>1668</v>
      </c>
      <c r="C406" s="2">
        <v>44731</v>
      </c>
      <c r="D406">
        <v>791</v>
      </c>
      <c r="E406">
        <v>188.3</v>
      </c>
      <c r="F406" t="s">
        <v>1661</v>
      </c>
    </row>
    <row r="407" spans="1:6">
      <c r="A407" t="s">
        <v>877</v>
      </c>
      <c r="B407" t="s">
        <v>1669</v>
      </c>
      <c r="C407" s="2">
        <v>44763</v>
      </c>
      <c r="D407">
        <v>332</v>
      </c>
      <c r="E407">
        <v>41.58</v>
      </c>
      <c r="F407" t="s">
        <v>1663</v>
      </c>
    </row>
    <row r="408" spans="1:6">
      <c r="A408" t="s">
        <v>879</v>
      </c>
      <c r="B408" t="s">
        <v>1660</v>
      </c>
      <c r="C408" s="2">
        <v>44733</v>
      </c>
      <c r="D408">
        <v>241</v>
      </c>
      <c r="E408">
        <v>16.18</v>
      </c>
      <c r="F408" t="s">
        <v>1665</v>
      </c>
    </row>
    <row r="409" spans="1:6">
      <c r="A409" t="s">
        <v>881</v>
      </c>
      <c r="B409" t="s">
        <v>1662</v>
      </c>
      <c r="C409" s="2">
        <v>44746</v>
      </c>
      <c r="D409">
        <v>494</v>
      </c>
      <c r="E409">
        <v>488.92</v>
      </c>
      <c r="F409" t="s">
        <v>1667</v>
      </c>
    </row>
    <row r="410" spans="1:6">
      <c r="A410" t="s">
        <v>883</v>
      </c>
      <c r="B410" t="s">
        <v>1664</v>
      </c>
      <c r="C410" s="2">
        <v>44755</v>
      </c>
      <c r="D410">
        <v>260</v>
      </c>
      <c r="E410">
        <v>68.13</v>
      </c>
      <c r="F410" t="s">
        <v>1661</v>
      </c>
    </row>
    <row r="411" spans="1:6">
      <c r="A411" t="s">
        <v>885</v>
      </c>
      <c r="B411" t="s">
        <v>1666</v>
      </c>
      <c r="C411" s="2">
        <v>44755</v>
      </c>
      <c r="D411">
        <v>726</v>
      </c>
      <c r="E411">
        <v>633.54</v>
      </c>
      <c r="F411" t="s">
        <v>1663</v>
      </c>
    </row>
    <row r="412" spans="1:6">
      <c r="A412" t="s">
        <v>887</v>
      </c>
      <c r="B412" t="s">
        <v>1660</v>
      </c>
      <c r="C412" s="2">
        <v>44727</v>
      </c>
      <c r="D412">
        <v>402</v>
      </c>
      <c r="E412">
        <v>308.64999999999998</v>
      </c>
      <c r="F412" t="s">
        <v>1665</v>
      </c>
    </row>
    <row r="413" spans="1:6">
      <c r="A413" t="s">
        <v>889</v>
      </c>
      <c r="B413" t="s">
        <v>1662</v>
      </c>
      <c r="C413" s="2">
        <v>44746</v>
      </c>
      <c r="D413">
        <v>369</v>
      </c>
      <c r="E413">
        <v>58.12</v>
      </c>
      <c r="F413" t="s">
        <v>1667</v>
      </c>
    </row>
    <row r="414" spans="1:6">
      <c r="A414" t="s">
        <v>891</v>
      </c>
      <c r="B414" t="s">
        <v>1664</v>
      </c>
      <c r="C414" s="2">
        <v>44740</v>
      </c>
      <c r="D414">
        <v>657</v>
      </c>
      <c r="E414">
        <v>351.96</v>
      </c>
      <c r="F414" t="s">
        <v>1661</v>
      </c>
    </row>
    <row r="415" spans="1:6">
      <c r="A415" t="s">
        <v>893</v>
      </c>
      <c r="B415" t="s">
        <v>1666</v>
      </c>
      <c r="C415" s="2">
        <v>44743</v>
      </c>
      <c r="D415">
        <v>482</v>
      </c>
      <c r="E415">
        <v>425.21</v>
      </c>
      <c r="F415" t="s">
        <v>1663</v>
      </c>
    </row>
    <row r="416" spans="1:6">
      <c r="A416" t="s">
        <v>895</v>
      </c>
      <c r="B416" t="s">
        <v>1660</v>
      </c>
      <c r="C416" s="2">
        <v>44737</v>
      </c>
      <c r="D416">
        <v>652</v>
      </c>
      <c r="E416">
        <v>48.81</v>
      </c>
      <c r="F416" t="s">
        <v>1665</v>
      </c>
    </row>
    <row r="417" spans="1:6">
      <c r="A417" t="s">
        <v>897</v>
      </c>
      <c r="B417" t="s">
        <v>1662</v>
      </c>
      <c r="C417" s="2">
        <v>44757</v>
      </c>
      <c r="D417">
        <v>556</v>
      </c>
      <c r="E417">
        <v>257.07</v>
      </c>
      <c r="F417" t="s">
        <v>1667</v>
      </c>
    </row>
    <row r="418" spans="1:6">
      <c r="A418" t="s">
        <v>899</v>
      </c>
      <c r="B418" t="s">
        <v>1664</v>
      </c>
      <c r="C418" s="2">
        <v>44745</v>
      </c>
      <c r="D418">
        <v>706</v>
      </c>
      <c r="E418">
        <v>243.31</v>
      </c>
      <c r="F418" t="s">
        <v>1661</v>
      </c>
    </row>
    <row r="419" spans="1:6">
      <c r="A419" t="s">
        <v>901</v>
      </c>
      <c r="B419" t="s">
        <v>1666</v>
      </c>
      <c r="C419" s="2">
        <v>44760</v>
      </c>
      <c r="D419">
        <v>460</v>
      </c>
      <c r="E419">
        <v>321.60000000000002</v>
      </c>
      <c r="F419" t="s">
        <v>1663</v>
      </c>
    </row>
    <row r="420" spans="1:6">
      <c r="A420" t="s">
        <v>903</v>
      </c>
      <c r="B420" t="s">
        <v>1660</v>
      </c>
      <c r="C420" s="2">
        <v>44750</v>
      </c>
      <c r="D420">
        <v>248</v>
      </c>
      <c r="E420">
        <v>4.6900000000000004</v>
      </c>
      <c r="F420" t="s">
        <v>1665</v>
      </c>
    </row>
    <row r="421" spans="1:6">
      <c r="A421" t="s">
        <v>905</v>
      </c>
      <c r="B421" t="s">
        <v>1662</v>
      </c>
      <c r="C421" s="2">
        <v>44742</v>
      </c>
      <c r="D421">
        <v>700</v>
      </c>
      <c r="E421">
        <v>512.72</v>
      </c>
      <c r="F421" t="s">
        <v>1667</v>
      </c>
    </row>
    <row r="422" spans="1:6">
      <c r="A422" t="s">
        <v>907</v>
      </c>
      <c r="B422" t="s">
        <v>1664</v>
      </c>
      <c r="C422" s="2">
        <v>44754</v>
      </c>
      <c r="D422">
        <v>329</v>
      </c>
      <c r="E422">
        <v>237.86</v>
      </c>
      <c r="F422" t="s">
        <v>1661</v>
      </c>
    </row>
    <row r="423" spans="1:6">
      <c r="A423" t="s">
        <v>909</v>
      </c>
      <c r="B423" t="s">
        <v>1666</v>
      </c>
      <c r="C423" s="2">
        <v>44746</v>
      </c>
      <c r="D423">
        <v>656</v>
      </c>
      <c r="E423">
        <v>639.07000000000005</v>
      </c>
      <c r="F423" t="s">
        <v>1663</v>
      </c>
    </row>
    <row r="424" spans="1:6">
      <c r="A424" t="s">
        <v>911</v>
      </c>
      <c r="B424" t="s">
        <v>1668</v>
      </c>
      <c r="C424" s="2">
        <v>44752</v>
      </c>
      <c r="D424">
        <v>452</v>
      </c>
      <c r="E424">
        <v>417.84</v>
      </c>
      <c r="F424" t="s">
        <v>1665</v>
      </c>
    </row>
    <row r="425" spans="1:6">
      <c r="A425" t="s">
        <v>913</v>
      </c>
      <c r="B425" t="s">
        <v>1660</v>
      </c>
      <c r="C425" s="2">
        <v>44725</v>
      </c>
      <c r="D425">
        <v>839</v>
      </c>
      <c r="E425">
        <v>292.32</v>
      </c>
      <c r="F425" t="s">
        <v>1667</v>
      </c>
    </row>
    <row r="426" spans="1:6">
      <c r="A426" t="s">
        <v>915</v>
      </c>
      <c r="B426" t="s">
        <v>1662</v>
      </c>
      <c r="C426" s="2">
        <v>44734</v>
      </c>
      <c r="D426">
        <v>845</v>
      </c>
      <c r="E426">
        <v>311.5</v>
      </c>
      <c r="F426" t="s">
        <v>1661</v>
      </c>
    </row>
    <row r="427" spans="1:6">
      <c r="A427" t="s">
        <v>917</v>
      </c>
      <c r="B427" t="s">
        <v>1664</v>
      </c>
      <c r="C427" s="2">
        <v>44761</v>
      </c>
      <c r="D427">
        <v>855</v>
      </c>
      <c r="E427">
        <v>327.3</v>
      </c>
      <c r="F427" t="s">
        <v>1663</v>
      </c>
    </row>
    <row r="428" spans="1:6">
      <c r="A428" t="s">
        <v>919</v>
      </c>
      <c r="B428" t="s">
        <v>1666</v>
      </c>
      <c r="C428" s="2">
        <v>44735</v>
      </c>
      <c r="D428">
        <v>423</v>
      </c>
      <c r="E428">
        <v>326.89</v>
      </c>
      <c r="F428" t="s">
        <v>1665</v>
      </c>
    </row>
    <row r="429" spans="1:6">
      <c r="A429" t="s">
        <v>921</v>
      </c>
      <c r="B429" t="s">
        <v>1660</v>
      </c>
      <c r="C429" s="2">
        <v>44753</v>
      </c>
      <c r="D429">
        <v>631</v>
      </c>
      <c r="E429">
        <v>619.61</v>
      </c>
      <c r="F429" t="s">
        <v>1667</v>
      </c>
    </row>
    <row r="430" spans="1:6">
      <c r="A430" t="s">
        <v>923</v>
      </c>
      <c r="B430" t="s">
        <v>1662</v>
      </c>
      <c r="C430" s="2">
        <v>44732</v>
      </c>
      <c r="D430">
        <v>807</v>
      </c>
      <c r="E430">
        <v>196.69</v>
      </c>
      <c r="F430" t="s">
        <v>1661</v>
      </c>
    </row>
    <row r="431" spans="1:6">
      <c r="A431" t="s">
        <v>925</v>
      </c>
      <c r="B431" t="s">
        <v>1664</v>
      </c>
      <c r="C431" s="2">
        <v>44748</v>
      </c>
      <c r="D431">
        <v>836</v>
      </c>
      <c r="E431">
        <v>426.18</v>
      </c>
      <c r="F431" t="s">
        <v>1663</v>
      </c>
    </row>
    <row r="432" spans="1:6">
      <c r="A432" t="s">
        <v>927</v>
      </c>
      <c r="B432" t="s">
        <v>1666</v>
      </c>
      <c r="C432" s="2">
        <v>44731</v>
      </c>
      <c r="D432">
        <v>676</v>
      </c>
      <c r="E432">
        <v>670.08</v>
      </c>
      <c r="F432" t="s">
        <v>1665</v>
      </c>
    </row>
    <row r="433" spans="1:6">
      <c r="A433" t="s">
        <v>929</v>
      </c>
      <c r="B433" t="s">
        <v>1668</v>
      </c>
      <c r="C433" s="2">
        <v>44725</v>
      </c>
      <c r="D433">
        <v>330</v>
      </c>
      <c r="E433">
        <v>191.41</v>
      </c>
      <c r="F433" t="s">
        <v>1667</v>
      </c>
    </row>
    <row r="434" spans="1:6">
      <c r="A434" t="s">
        <v>931</v>
      </c>
      <c r="B434" t="s">
        <v>1669</v>
      </c>
      <c r="C434" s="2">
        <v>44753</v>
      </c>
      <c r="D434">
        <v>523</v>
      </c>
      <c r="E434">
        <v>105.13</v>
      </c>
      <c r="F434" t="s">
        <v>1661</v>
      </c>
    </row>
    <row r="435" spans="1:6">
      <c r="A435" t="s">
        <v>933</v>
      </c>
      <c r="B435" t="s">
        <v>1660</v>
      </c>
      <c r="C435" s="2">
        <v>44738</v>
      </c>
      <c r="D435">
        <v>865</v>
      </c>
      <c r="E435">
        <v>75.77</v>
      </c>
      <c r="F435" t="s">
        <v>1663</v>
      </c>
    </row>
    <row r="436" spans="1:6">
      <c r="A436" t="s">
        <v>935</v>
      </c>
      <c r="B436" t="s">
        <v>1662</v>
      </c>
      <c r="C436" s="2">
        <v>44762</v>
      </c>
      <c r="D436">
        <v>495</v>
      </c>
      <c r="E436">
        <v>456.41</v>
      </c>
      <c r="F436" t="s">
        <v>1665</v>
      </c>
    </row>
    <row r="437" spans="1:6">
      <c r="A437" t="s">
        <v>937</v>
      </c>
      <c r="B437" t="s">
        <v>1664</v>
      </c>
      <c r="C437" s="2">
        <v>44756</v>
      </c>
      <c r="D437">
        <v>721</v>
      </c>
      <c r="E437">
        <v>293.07</v>
      </c>
      <c r="F437" t="s">
        <v>1667</v>
      </c>
    </row>
    <row r="438" spans="1:6">
      <c r="A438" t="s">
        <v>939</v>
      </c>
      <c r="B438" t="s">
        <v>1666</v>
      </c>
      <c r="C438" s="2">
        <v>44744</v>
      </c>
      <c r="D438">
        <v>258</v>
      </c>
      <c r="E438">
        <v>117.45</v>
      </c>
      <c r="F438" t="s">
        <v>1661</v>
      </c>
    </row>
    <row r="439" spans="1:6">
      <c r="A439" t="s">
        <v>941</v>
      </c>
      <c r="B439" t="s">
        <v>1660</v>
      </c>
      <c r="C439" s="2">
        <v>44753</v>
      </c>
      <c r="D439">
        <v>844</v>
      </c>
      <c r="E439">
        <v>384.15</v>
      </c>
      <c r="F439" t="s">
        <v>1663</v>
      </c>
    </row>
    <row r="440" spans="1:6">
      <c r="A440" t="s">
        <v>943</v>
      </c>
      <c r="B440" t="s">
        <v>1662</v>
      </c>
      <c r="C440" s="2">
        <v>44762</v>
      </c>
      <c r="D440">
        <v>197</v>
      </c>
      <c r="E440">
        <v>59.35</v>
      </c>
      <c r="F440" t="s">
        <v>1665</v>
      </c>
    </row>
    <row r="441" spans="1:6">
      <c r="A441" t="s">
        <v>945</v>
      </c>
      <c r="B441" t="s">
        <v>1664</v>
      </c>
      <c r="C441" s="2">
        <v>44740</v>
      </c>
      <c r="D441">
        <v>216</v>
      </c>
      <c r="E441">
        <v>49.44</v>
      </c>
      <c r="F441" t="s">
        <v>1667</v>
      </c>
    </row>
    <row r="442" spans="1:6">
      <c r="A442" t="s">
        <v>947</v>
      </c>
      <c r="B442" t="s">
        <v>1666</v>
      </c>
      <c r="C442" s="2">
        <v>44729</v>
      </c>
      <c r="D442">
        <v>254</v>
      </c>
      <c r="E442">
        <v>124.1</v>
      </c>
      <c r="F442" t="s">
        <v>1661</v>
      </c>
    </row>
    <row r="443" spans="1:6">
      <c r="A443" t="s">
        <v>949</v>
      </c>
      <c r="B443" t="s">
        <v>1668</v>
      </c>
      <c r="C443" s="2">
        <v>44727</v>
      </c>
      <c r="D443">
        <v>463</v>
      </c>
      <c r="E443">
        <v>408.84</v>
      </c>
      <c r="F443" t="s">
        <v>1663</v>
      </c>
    </row>
    <row r="444" spans="1:6">
      <c r="A444" t="s">
        <v>951</v>
      </c>
      <c r="B444" t="s">
        <v>1660</v>
      </c>
      <c r="C444" s="2">
        <v>44734</v>
      </c>
      <c r="D444">
        <v>512</v>
      </c>
      <c r="E444">
        <v>157.21</v>
      </c>
      <c r="F444" t="s">
        <v>1665</v>
      </c>
    </row>
    <row r="445" spans="1:6">
      <c r="A445" t="s">
        <v>953</v>
      </c>
      <c r="B445" t="s">
        <v>1662</v>
      </c>
      <c r="C445" s="2">
        <v>44744</v>
      </c>
      <c r="D445">
        <v>820</v>
      </c>
      <c r="E445">
        <v>702.79</v>
      </c>
      <c r="F445" t="s">
        <v>1667</v>
      </c>
    </row>
    <row r="446" spans="1:6">
      <c r="A446" t="s">
        <v>955</v>
      </c>
      <c r="B446" t="s">
        <v>1664</v>
      </c>
      <c r="C446" s="2">
        <v>44737</v>
      </c>
      <c r="D446">
        <v>621</v>
      </c>
      <c r="E446">
        <v>181.09</v>
      </c>
      <c r="F446" t="s">
        <v>1661</v>
      </c>
    </row>
    <row r="447" spans="1:6">
      <c r="A447" t="s">
        <v>957</v>
      </c>
      <c r="B447" t="s">
        <v>1666</v>
      </c>
      <c r="C447" s="2">
        <v>44752</v>
      </c>
      <c r="D447">
        <v>616</v>
      </c>
      <c r="E447">
        <v>159.51</v>
      </c>
      <c r="F447" t="s">
        <v>1663</v>
      </c>
    </row>
    <row r="448" spans="1:6">
      <c r="A448" t="s">
        <v>959</v>
      </c>
      <c r="B448" t="s">
        <v>1660</v>
      </c>
      <c r="C448" s="2">
        <v>44736</v>
      </c>
      <c r="D448">
        <v>506</v>
      </c>
      <c r="E448">
        <v>149.49</v>
      </c>
      <c r="F448" t="s">
        <v>1665</v>
      </c>
    </row>
    <row r="449" spans="1:6">
      <c r="A449" t="s">
        <v>961</v>
      </c>
      <c r="B449" t="s">
        <v>1662</v>
      </c>
      <c r="C449" s="2">
        <v>44752</v>
      </c>
      <c r="D449">
        <v>246</v>
      </c>
      <c r="E449">
        <v>18.260000000000002</v>
      </c>
      <c r="F449" t="s">
        <v>1667</v>
      </c>
    </row>
    <row r="450" spans="1:6">
      <c r="A450" t="s">
        <v>963</v>
      </c>
      <c r="B450" t="s">
        <v>1664</v>
      </c>
      <c r="C450" s="2">
        <v>44759</v>
      </c>
      <c r="D450">
        <v>649</v>
      </c>
      <c r="E450">
        <v>25.36</v>
      </c>
      <c r="F450" t="s">
        <v>1661</v>
      </c>
    </row>
    <row r="451" spans="1:6">
      <c r="A451" t="s">
        <v>965</v>
      </c>
      <c r="B451" t="s">
        <v>1666</v>
      </c>
      <c r="C451" s="2">
        <v>44763</v>
      </c>
      <c r="D451">
        <v>421</v>
      </c>
      <c r="E451">
        <v>321.94</v>
      </c>
      <c r="F451" t="s">
        <v>1663</v>
      </c>
    </row>
    <row r="452" spans="1:6">
      <c r="A452" t="s">
        <v>967</v>
      </c>
      <c r="B452" t="s">
        <v>1668</v>
      </c>
      <c r="C452" s="2">
        <v>44763</v>
      </c>
      <c r="D452">
        <v>816</v>
      </c>
      <c r="E452">
        <v>610.91999999999996</v>
      </c>
      <c r="F452" t="s">
        <v>1665</v>
      </c>
    </row>
    <row r="453" spans="1:6">
      <c r="A453" t="s">
        <v>969</v>
      </c>
      <c r="B453" t="s">
        <v>1669</v>
      </c>
      <c r="C453" s="2">
        <v>44750</v>
      </c>
      <c r="D453">
        <v>409</v>
      </c>
      <c r="E453">
        <v>283.45</v>
      </c>
      <c r="F453" t="s">
        <v>1667</v>
      </c>
    </row>
    <row r="454" spans="1:6">
      <c r="A454" t="s">
        <v>971</v>
      </c>
      <c r="B454" t="s">
        <v>1660</v>
      </c>
      <c r="C454" s="2">
        <v>44751</v>
      </c>
      <c r="D454">
        <v>333</v>
      </c>
      <c r="E454">
        <v>176.29</v>
      </c>
      <c r="F454" t="s">
        <v>1661</v>
      </c>
    </row>
    <row r="455" spans="1:6">
      <c r="A455" t="s">
        <v>973</v>
      </c>
      <c r="B455" t="s">
        <v>1662</v>
      </c>
      <c r="C455" s="2">
        <v>44736</v>
      </c>
      <c r="D455">
        <v>423</v>
      </c>
      <c r="E455">
        <v>137.11000000000001</v>
      </c>
      <c r="F455" t="s">
        <v>1663</v>
      </c>
    </row>
    <row r="456" spans="1:6">
      <c r="A456" t="s">
        <v>975</v>
      </c>
      <c r="B456" t="s">
        <v>1664</v>
      </c>
      <c r="C456" s="2">
        <v>44737</v>
      </c>
      <c r="D456">
        <v>305</v>
      </c>
      <c r="E456">
        <v>109.52</v>
      </c>
      <c r="F456" t="s">
        <v>1665</v>
      </c>
    </row>
    <row r="457" spans="1:6">
      <c r="A457" t="s">
        <v>977</v>
      </c>
      <c r="B457" t="s">
        <v>1666</v>
      </c>
      <c r="C457" s="2">
        <v>44744</v>
      </c>
      <c r="D457">
        <v>377</v>
      </c>
      <c r="E457">
        <v>248.48</v>
      </c>
      <c r="F457" t="s">
        <v>1667</v>
      </c>
    </row>
    <row r="458" spans="1:6">
      <c r="A458" t="s">
        <v>979</v>
      </c>
      <c r="B458" t="s">
        <v>1660</v>
      </c>
      <c r="C458" s="2">
        <v>44735</v>
      </c>
      <c r="D458">
        <v>405</v>
      </c>
      <c r="E458">
        <v>208.11</v>
      </c>
      <c r="F458" t="s">
        <v>1661</v>
      </c>
    </row>
    <row r="459" spans="1:6">
      <c r="A459" t="s">
        <v>981</v>
      </c>
      <c r="B459" t="s">
        <v>1662</v>
      </c>
      <c r="C459" s="2">
        <v>44751</v>
      </c>
      <c r="D459">
        <v>512</v>
      </c>
      <c r="E459">
        <v>392.53</v>
      </c>
      <c r="F459" t="s">
        <v>1663</v>
      </c>
    </row>
    <row r="460" spans="1:6">
      <c r="A460" t="s">
        <v>983</v>
      </c>
      <c r="B460" t="s">
        <v>1664</v>
      </c>
      <c r="C460" s="2">
        <v>44726</v>
      </c>
      <c r="D460">
        <v>369</v>
      </c>
      <c r="E460">
        <v>271.33</v>
      </c>
      <c r="F460" t="s">
        <v>1665</v>
      </c>
    </row>
    <row r="461" spans="1:6">
      <c r="A461" t="s">
        <v>985</v>
      </c>
      <c r="B461" t="s">
        <v>1666</v>
      </c>
      <c r="C461" s="2">
        <v>44749</v>
      </c>
      <c r="D461">
        <v>612</v>
      </c>
      <c r="E461">
        <v>272.76</v>
      </c>
      <c r="F461" t="s">
        <v>1667</v>
      </c>
    </row>
    <row r="462" spans="1:6">
      <c r="A462" t="s">
        <v>987</v>
      </c>
      <c r="B462" t="s">
        <v>1660</v>
      </c>
      <c r="C462" s="2">
        <v>44734</v>
      </c>
      <c r="D462">
        <v>473</v>
      </c>
      <c r="E462">
        <v>380.73</v>
      </c>
      <c r="F462" t="s">
        <v>1661</v>
      </c>
    </row>
    <row r="463" spans="1:6">
      <c r="A463" t="s">
        <v>989</v>
      </c>
      <c r="B463" t="s">
        <v>1662</v>
      </c>
      <c r="C463" s="2">
        <v>44726</v>
      </c>
      <c r="D463">
        <v>581</v>
      </c>
      <c r="E463">
        <v>367.5</v>
      </c>
      <c r="F463" t="s">
        <v>1663</v>
      </c>
    </row>
    <row r="464" spans="1:6">
      <c r="A464" t="s">
        <v>991</v>
      </c>
      <c r="B464" t="s">
        <v>1664</v>
      </c>
      <c r="C464" s="2">
        <v>44743</v>
      </c>
      <c r="D464">
        <v>886</v>
      </c>
      <c r="E464">
        <v>479.97</v>
      </c>
      <c r="F464" t="s">
        <v>1665</v>
      </c>
    </row>
    <row r="465" spans="1:6">
      <c r="A465" t="s">
        <v>993</v>
      </c>
      <c r="B465" t="s">
        <v>1666</v>
      </c>
      <c r="C465" s="2">
        <v>44742</v>
      </c>
      <c r="D465">
        <v>735</v>
      </c>
      <c r="E465">
        <v>378.16</v>
      </c>
      <c r="F465" t="s">
        <v>1667</v>
      </c>
    </row>
    <row r="466" spans="1:6">
      <c r="A466" t="s">
        <v>995</v>
      </c>
      <c r="B466" t="s">
        <v>1660</v>
      </c>
      <c r="C466" s="2">
        <v>44747</v>
      </c>
      <c r="D466">
        <v>521</v>
      </c>
      <c r="E466">
        <v>123.76</v>
      </c>
      <c r="F466" t="s">
        <v>1661</v>
      </c>
    </row>
    <row r="467" spans="1:6">
      <c r="A467" t="s">
        <v>997</v>
      </c>
      <c r="B467" t="s">
        <v>1662</v>
      </c>
      <c r="C467" s="2">
        <v>44764</v>
      </c>
      <c r="D467">
        <v>555</v>
      </c>
      <c r="E467">
        <v>550.12</v>
      </c>
      <c r="F467" t="s">
        <v>1663</v>
      </c>
    </row>
    <row r="468" spans="1:6">
      <c r="A468" t="s">
        <v>999</v>
      </c>
      <c r="B468" t="s">
        <v>1664</v>
      </c>
      <c r="C468" s="2">
        <v>44735</v>
      </c>
      <c r="D468">
        <v>553</v>
      </c>
      <c r="E468">
        <v>330.18</v>
      </c>
      <c r="F468" t="s">
        <v>1665</v>
      </c>
    </row>
    <row r="469" spans="1:6">
      <c r="A469" t="s">
        <v>1001</v>
      </c>
      <c r="B469" t="s">
        <v>1666</v>
      </c>
      <c r="C469" s="2">
        <v>44737</v>
      </c>
      <c r="D469">
        <v>240</v>
      </c>
      <c r="E469">
        <v>113.14</v>
      </c>
      <c r="F469" t="s">
        <v>1667</v>
      </c>
    </row>
    <row r="470" spans="1:6">
      <c r="A470" t="s">
        <v>1003</v>
      </c>
      <c r="B470" t="s">
        <v>1668</v>
      </c>
      <c r="C470" s="2">
        <v>44749</v>
      </c>
      <c r="D470">
        <v>879</v>
      </c>
      <c r="E470">
        <v>361.99</v>
      </c>
      <c r="F470" t="s">
        <v>1661</v>
      </c>
    </row>
    <row r="471" spans="1:6">
      <c r="A471" t="s">
        <v>1005</v>
      </c>
      <c r="B471" t="s">
        <v>1660</v>
      </c>
      <c r="C471" s="2">
        <v>44729</v>
      </c>
      <c r="D471">
        <v>784</v>
      </c>
      <c r="E471">
        <v>56.46</v>
      </c>
      <c r="F471" t="s">
        <v>1663</v>
      </c>
    </row>
    <row r="472" spans="1:6">
      <c r="A472" t="s">
        <v>1007</v>
      </c>
      <c r="B472" t="s">
        <v>1662</v>
      </c>
      <c r="C472" s="2">
        <v>44738</v>
      </c>
      <c r="D472">
        <v>865</v>
      </c>
      <c r="E472">
        <v>245.88</v>
      </c>
      <c r="F472" t="s">
        <v>1665</v>
      </c>
    </row>
    <row r="473" spans="1:6">
      <c r="A473" t="s">
        <v>1009</v>
      </c>
      <c r="B473" t="s">
        <v>1664</v>
      </c>
      <c r="C473" s="2">
        <v>44740</v>
      </c>
      <c r="D473">
        <v>247</v>
      </c>
      <c r="E473">
        <v>127.14</v>
      </c>
      <c r="F473" t="s">
        <v>1667</v>
      </c>
    </row>
    <row r="474" spans="1:6">
      <c r="A474" t="s">
        <v>1011</v>
      </c>
      <c r="B474" t="s">
        <v>1666</v>
      </c>
      <c r="C474" s="2">
        <v>44755</v>
      </c>
      <c r="D474">
        <v>435</v>
      </c>
      <c r="E474">
        <v>366.97</v>
      </c>
      <c r="F474" t="s">
        <v>1661</v>
      </c>
    </row>
    <row r="475" spans="1:6">
      <c r="A475" t="s">
        <v>1013</v>
      </c>
      <c r="B475" t="s">
        <v>1660</v>
      </c>
      <c r="C475" s="2">
        <v>44755</v>
      </c>
      <c r="D475">
        <v>868</v>
      </c>
      <c r="E475">
        <v>689.29</v>
      </c>
      <c r="F475" t="s">
        <v>1663</v>
      </c>
    </row>
    <row r="476" spans="1:6">
      <c r="A476" t="s">
        <v>1015</v>
      </c>
      <c r="B476" t="s">
        <v>1662</v>
      </c>
      <c r="C476" s="2">
        <v>44764</v>
      </c>
      <c r="D476">
        <v>552</v>
      </c>
      <c r="E476">
        <v>241.47</v>
      </c>
      <c r="F476" t="s">
        <v>1665</v>
      </c>
    </row>
    <row r="477" spans="1:6">
      <c r="A477" t="s">
        <v>1017</v>
      </c>
      <c r="B477" t="s">
        <v>1664</v>
      </c>
      <c r="C477" s="2">
        <v>44735</v>
      </c>
      <c r="D477">
        <v>441</v>
      </c>
      <c r="E477">
        <v>275.25</v>
      </c>
      <c r="F477" t="s">
        <v>1667</v>
      </c>
    </row>
    <row r="478" spans="1:6">
      <c r="A478" t="s">
        <v>1019</v>
      </c>
      <c r="B478" t="s">
        <v>1666</v>
      </c>
      <c r="C478" s="2">
        <v>44734</v>
      </c>
      <c r="D478">
        <v>392</v>
      </c>
      <c r="E478">
        <v>347.57</v>
      </c>
      <c r="F478" t="s">
        <v>1661</v>
      </c>
    </row>
    <row r="479" spans="1:6">
      <c r="A479" t="s">
        <v>1021</v>
      </c>
      <c r="B479" t="s">
        <v>1668</v>
      </c>
      <c r="C479" s="2">
        <v>44728</v>
      </c>
      <c r="D479">
        <v>432</v>
      </c>
      <c r="E479">
        <v>79.319999999999993</v>
      </c>
      <c r="F479" t="s">
        <v>1663</v>
      </c>
    </row>
    <row r="480" spans="1:6">
      <c r="A480" t="s">
        <v>1023</v>
      </c>
      <c r="B480" t="s">
        <v>1669</v>
      </c>
      <c r="C480" s="2">
        <v>44739</v>
      </c>
      <c r="D480">
        <v>346</v>
      </c>
      <c r="E480">
        <v>55.04</v>
      </c>
      <c r="F480" t="s">
        <v>1665</v>
      </c>
    </row>
    <row r="481" spans="1:6">
      <c r="A481" t="s">
        <v>1025</v>
      </c>
      <c r="B481" t="s">
        <v>1660</v>
      </c>
      <c r="C481" s="2">
        <v>44765</v>
      </c>
      <c r="D481">
        <v>409</v>
      </c>
      <c r="E481">
        <v>120.52</v>
      </c>
      <c r="F481" t="s">
        <v>1667</v>
      </c>
    </row>
    <row r="482" spans="1:6">
      <c r="A482" t="s">
        <v>1027</v>
      </c>
      <c r="B482" t="s">
        <v>1662</v>
      </c>
      <c r="C482" s="2">
        <v>44740</v>
      </c>
      <c r="D482">
        <v>312</v>
      </c>
      <c r="E482">
        <v>110.5</v>
      </c>
      <c r="F482" t="s">
        <v>1661</v>
      </c>
    </row>
    <row r="483" spans="1:6">
      <c r="A483" t="s">
        <v>1029</v>
      </c>
      <c r="B483" t="s">
        <v>1664</v>
      </c>
      <c r="C483" s="2">
        <v>44734</v>
      </c>
      <c r="D483">
        <v>283</v>
      </c>
      <c r="E483">
        <v>114.52</v>
      </c>
      <c r="F483" t="s">
        <v>1663</v>
      </c>
    </row>
    <row r="484" spans="1:6">
      <c r="A484" t="s">
        <v>1031</v>
      </c>
      <c r="B484" t="s">
        <v>1666</v>
      </c>
      <c r="C484" s="2">
        <v>44727</v>
      </c>
      <c r="D484">
        <v>669</v>
      </c>
      <c r="E484">
        <v>380.19</v>
      </c>
      <c r="F484" t="s">
        <v>1665</v>
      </c>
    </row>
    <row r="485" spans="1:6">
      <c r="A485" t="s">
        <v>1033</v>
      </c>
      <c r="B485" t="s">
        <v>1660</v>
      </c>
      <c r="C485" s="2">
        <v>44737</v>
      </c>
      <c r="D485">
        <v>322</v>
      </c>
      <c r="E485">
        <v>220.3</v>
      </c>
      <c r="F485" t="s">
        <v>1667</v>
      </c>
    </row>
    <row r="486" spans="1:6">
      <c r="A486" t="s">
        <v>1035</v>
      </c>
      <c r="B486" t="s">
        <v>1662</v>
      </c>
      <c r="C486" s="2">
        <v>44747</v>
      </c>
      <c r="D486">
        <v>717</v>
      </c>
      <c r="E486">
        <v>343.45</v>
      </c>
      <c r="F486" t="s">
        <v>1661</v>
      </c>
    </row>
    <row r="487" spans="1:6">
      <c r="A487" t="s">
        <v>1037</v>
      </c>
      <c r="B487" t="s">
        <v>1664</v>
      </c>
      <c r="C487" s="2">
        <v>44754</v>
      </c>
      <c r="D487">
        <v>239</v>
      </c>
      <c r="E487">
        <v>212.82</v>
      </c>
      <c r="F487" t="s">
        <v>1663</v>
      </c>
    </row>
    <row r="488" spans="1:6">
      <c r="A488" t="s">
        <v>1039</v>
      </c>
      <c r="B488" t="s">
        <v>1666</v>
      </c>
      <c r="C488" s="2">
        <v>44760</v>
      </c>
      <c r="D488">
        <v>508</v>
      </c>
      <c r="E488">
        <v>258.83</v>
      </c>
      <c r="F488" t="s">
        <v>1665</v>
      </c>
    </row>
    <row r="489" spans="1:6">
      <c r="A489" t="s">
        <v>1041</v>
      </c>
      <c r="B489" t="s">
        <v>1668</v>
      </c>
      <c r="C489" s="2">
        <v>44759</v>
      </c>
      <c r="D489">
        <v>806</v>
      </c>
      <c r="E489">
        <v>631.6</v>
      </c>
      <c r="F489" t="s">
        <v>1667</v>
      </c>
    </row>
    <row r="490" spans="1:6">
      <c r="A490" t="s">
        <v>1043</v>
      </c>
      <c r="B490" t="s">
        <v>1660</v>
      </c>
      <c r="C490" s="2">
        <v>44735</v>
      </c>
      <c r="D490">
        <v>216</v>
      </c>
      <c r="E490">
        <v>14.25</v>
      </c>
      <c r="F490" t="s">
        <v>1661</v>
      </c>
    </row>
    <row r="491" spans="1:6">
      <c r="A491" t="s">
        <v>1045</v>
      </c>
      <c r="B491" t="s">
        <v>1662</v>
      </c>
      <c r="C491" s="2">
        <v>44734</v>
      </c>
      <c r="D491">
        <v>728</v>
      </c>
      <c r="E491">
        <v>130.01</v>
      </c>
      <c r="F491" t="s">
        <v>1663</v>
      </c>
    </row>
    <row r="492" spans="1:6">
      <c r="A492" t="s">
        <v>1047</v>
      </c>
      <c r="B492" t="s">
        <v>1664</v>
      </c>
      <c r="C492" s="2">
        <v>44753</v>
      </c>
      <c r="D492">
        <v>278</v>
      </c>
      <c r="E492">
        <v>121.18</v>
      </c>
      <c r="F492" t="s">
        <v>1665</v>
      </c>
    </row>
    <row r="493" spans="1:6">
      <c r="A493" t="s">
        <v>1049</v>
      </c>
      <c r="B493" t="s">
        <v>1666</v>
      </c>
      <c r="C493" s="2">
        <v>44739</v>
      </c>
      <c r="D493">
        <v>666</v>
      </c>
      <c r="E493">
        <v>493.11</v>
      </c>
      <c r="F493" t="s">
        <v>1667</v>
      </c>
    </row>
    <row r="494" spans="1:6">
      <c r="A494" t="s">
        <v>1051</v>
      </c>
      <c r="B494" t="s">
        <v>1660</v>
      </c>
      <c r="C494" s="2">
        <v>44740</v>
      </c>
      <c r="D494">
        <v>880</v>
      </c>
      <c r="E494">
        <v>476.17</v>
      </c>
      <c r="F494" t="s">
        <v>1661</v>
      </c>
    </row>
    <row r="495" spans="1:6">
      <c r="A495" t="s">
        <v>1053</v>
      </c>
      <c r="B495" t="s">
        <v>1662</v>
      </c>
      <c r="C495" s="2">
        <v>44748</v>
      </c>
      <c r="D495">
        <v>441</v>
      </c>
      <c r="E495">
        <v>314.31</v>
      </c>
      <c r="F495" t="s">
        <v>1663</v>
      </c>
    </row>
    <row r="496" spans="1:6">
      <c r="A496" t="s">
        <v>1055</v>
      </c>
      <c r="B496" t="s">
        <v>1664</v>
      </c>
      <c r="C496" s="2">
        <v>44731</v>
      </c>
      <c r="D496">
        <v>798</v>
      </c>
      <c r="E496">
        <v>528.66999999999996</v>
      </c>
      <c r="F496" t="s">
        <v>1665</v>
      </c>
    </row>
    <row r="497" spans="1:6">
      <c r="A497" t="s">
        <v>1057</v>
      </c>
      <c r="B497" t="s">
        <v>1666</v>
      </c>
      <c r="C497" s="2">
        <v>44763</v>
      </c>
      <c r="D497">
        <v>391</v>
      </c>
      <c r="E497">
        <v>200.59</v>
      </c>
      <c r="F497" t="s">
        <v>1667</v>
      </c>
    </row>
    <row r="498" spans="1:6">
      <c r="A498" t="s">
        <v>1059</v>
      </c>
      <c r="B498" t="s">
        <v>1668</v>
      </c>
      <c r="C498" s="2">
        <v>44733</v>
      </c>
      <c r="D498">
        <v>242</v>
      </c>
      <c r="E498">
        <v>205.59</v>
      </c>
      <c r="F498" t="s">
        <v>1661</v>
      </c>
    </row>
    <row r="499" spans="1:6">
      <c r="A499" t="s">
        <v>1061</v>
      </c>
      <c r="B499" t="s">
        <v>1669</v>
      </c>
      <c r="C499" s="2">
        <v>44746</v>
      </c>
      <c r="D499">
        <v>783</v>
      </c>
      <c r="E499">
        <v>452.47</v>
      </c>
      <c r="F499" t="s">
        <v>1663</v>
      </c>
    </row>
    <row r="500" spans="1:6">
      <c r="A500" t="s">
        <v>1063</v>
      </c>
      <c r="B500" t="s">
        <v>1660</v>
      </c>
      <c r="C500" s="2">
        <v>44755</v>
      </c>
      <c r="D500">
        <v>893</v>
      </c>
      <c r="E500">
        <v>17</v>
      </c>
      <c r="F500" t="s">
        <v>1665</v>
      </c>
    </row>
    <row r="501" spans="1:6">
      <c r="A501" t="s">
        <v>1065</v>
      </c>
      <c r="B501" t="s">
        <v>1662</v>
      </c>
      <c r="C501" s="2">
        <v>44787</v>
      </c>
      <c r="D501">
        <v>631</v>
      </c>
      <c r="E501">
        <v>597.52</v>
      </c>
      <c r="F501" t="s">
        <v>1667</v>
      </c>
    </row>
    <row r="502" spans="1:6">
      <c r="A502" t="s">
        <v>1067</v>
      </c>
      <c r="B502" t="s">
        <v>1664</v>
      </c>
      <c r="C502" s="2">
        <v>44799</v>
      </c>
      <c r="D502">
        <v>721</v>
      </c>
      <c r="E502">
        <v>452.75</v>
      </c>
      <c r="F502" t="s">
        <v>1661</v>
      </c>
    </row>
    <row r="503" spans="1:6">
      <c r="A503" t="s">
        <v>1069</v>
      </c>
      <c r="B503" t="s">
        <v>1666</v>
      </c>
      <c r="C503" s="2">
        <v>44802</v>
      </c>
      <c r="D503">
        <v>383</v>
      </c>
      <c r="E503">
        <v>352.19</v>
      </c>
      <c r="F503" t="s">
        <v>1663</v>
      </c>
    </row>
    <row r="504" spans="1:6">
      <c r="A504" t="s">
        <v>1071</v>
      </c>
      <c r="B504" t="s">
        <v>1660</v>
      </c>
      <c r="C504" s="2">
        <v>44774</v>
      </c>
      <c r="D504">
        <v>692</v>
      </c>
      <c r="E504">
        <v>244.64</v>
      </c>
      <c r="F504" t="s">
        <v>1665</v>
      </c>
    </row>
    <row r="505" spans="1:6">
      <c r="A505" t="s">
        <v>1073</v>
      </c>
      <c r="B505" t="s">
        <v>1662</v>
      </c>
      <c r="C505" s="2">
        <v>44800</v>
      </c>
      <c r="D505">
        <v>588</v>
      </c>
      <c r="E505">
        <v>295.56</v>
      </c>
      <c r="F505" t="s">
        <v>1667</v>
      </c>
    </row>
    <row r="506" spans="1:6">
      <c r="A506" t="s">
        <v>1075</v>
      </c>
      <c r="B506" t="s">
        <v>1664</v>
      </c>
      <c r="C506" s="2">
        <v>44797</v>
      </c>
      <c r="D506">
        <v>329</v>
      </c>
      <c r="E506">
        <v>289.33999999999997</v>
      </c>
      <c r="F506" t="s">
        <v>1661</v>
      </c>
    </row>
    <row r="507" spans="1:6">
      <c r="A507" t="s">
        <v>1077</v>
      </c>
      <c r="B507" t="s">
        <v>1666</v>
      </c>
      <c r="C507" s="2">
        <v>44766</v>
      </c>
      <c r="D507">
        <v>386</v>
      </c>
      <c r="E507">
        <v>139.75</v>
      </c>
      <c r="F507" t="s">
        <v>1663</v>
      </c>
    </row>
    <row r="508" spans="1:6">
      <c r="A508" t="s">
        <v>1079</v>
      </c>
      <c r="B508" t="s">
        <v>1660</v>
      </c>
      <c r="C508" s="2">
        <v>44782</v>
      </c>
      <c r="D508">
        <v>513</v>
      </c>
      <c r="E508">
        <v>101.16</v>
      </c>
      <c r="F508" t="s">
        <v>1665</v>
      </c>
    </row>
    <row r="509" spans="1:6">
      <c r="A509" t="s">
        <v>1081</v>
      </c>
      <c r="B509" t="s">
        <v>1662</v>
      </c>
      <c r="C509" s="2">
        <v>44790</v>
      </c>
      <c r="D509">
        <v>727</v>
      </c>
      <c r="E509">
        <v>321.97000000000003</v>
      </c>
      <c r="F509" t="s">
        <v>1667</v>
      </c>
    </row>
    <row r="510" spans="1:6">
      <c r="A510" t="s">
        <v>1083</v>
      </c>
      <c r="B510" t="s">
        <v>1664</v>
      </c>
      <c r="C510" s="2">
        <v>44770</v>
      </c>
      <c r="D510">
        <v>898</v>
      </c>
      <c r="E510">
        <v>694.53</v>
      </c>
      <c r="F510" t="s">
        <v>1661</v>
      </c>
    </row>
    <row r="511" spans="1:6">
      <c r="A511" t="s">
        <v>1085</v>
      </c>
      <c r="B511" t="s">
        <v>1666</v>
      </c>
      <c r="C511" s="2">
        <v>44759</v>
      </c>
      <c r="D511">
        <v>596</v>
      </c>
      <c r="E511">
        <v>286.2</v>
      </c>
      <c r="F511" t="s">
        <v>1663</v>
      </c>
    </row>
    <row r="512" spans="1:6">
      <c r="A512" t="s">
        <v>1087</v>
      </c>
      <c r="B512" t="s">
        <v>1660</v>
      </c>
      <c r="C512" s="2">
        <v>44776</v>
      </c>
      <c r="D512">
        <v>866</v>
      </c>
      <c r="E512">
        <v>504.92</v>
      </c>
      <c r="F512" t="s">
        <v>1665</v>
      </c>
    </row>
    <row r="513" spans="1:6">
      <c r="A513" t="s">
        <v>1089</v>
      </c>
      <c r="B513" t="s">
        <v>1662</v>
      </c>
      <c r="C513" s="2">
        <v>44757</v>
      </c>
      <c r="D513">
        <v>822</v>
      </c>
      <c r="E513">
        <v>114.22</v>
      </c>
      <c r="F513" t="s">
        <v>1667</v>
      </c>
    </row>
    <row r="514" spans="1:6">
      <c r="A514" t="s">
        <v>1091</v>
      </c>
      <c r="B514" t="s">
        <v>1664</v>
      </c>
      <c r="C514" s="2">
        <v>44771</v>
      </c>
      <c r="D514">
        <v>541</v>
      </c>
      <c r="E514">
        <v>278.33999999999997</v>
      </c>
      <c r="F514" t="s">
        <v>1661</v>
      </c>
    </row>
    <row r="515" spans="1:6">
      <c r="A515" t="s">
        <v>1093</v>
      </c>
      <c r="B515" t="s">
        <v>1666</v>
      </c>
      <c r="C515" s="2">
        <v>44788</v>
      </c>
      <c r="D515">
        <v>271</v>
      </c>
      <c r="E515">
        <v>148.35</v>
      </c>
      <c r="F515" t="s">
        <v>1663</v>
      </c>
    </row>
    <row r="516" spans="1:6">
      <c r="A516" t="s">
        <v>1095</v>
      </c>
      <c r="B516" t="s">
        <v>1668</v>
      </c>
      <c r="C516" s="2">
        <v>44762</v>
      </c>
      <c r="D516">
        <v>513</v>
      </c>
      <c r="E516">
        <v>497.36</v>
      </c>
      <c r="F516" t="s">
        <v>1665</v>
      </c>
    </row>
    <row r="517" spans="1:6">
      <c r="A517" t="s">
        <v>1097</v>
      </c>
      <c r="B517" t="s">
        <v>1660</v>
      </c>
      <c r="C517" s="2">
        <v>44789</v>
      </c>
      <c r="D517">
        <v>812</v>
      </c>
      <c r="E517">
        <v>89.26</v>
      </c>
      <c r="F517" t="s">
        <v>1667</v>
      </c>
    </row>
    <row r="518" spans="1:6">
      <c r="A518" t="s">
        <v>1099</v>
      </c>
      <c r="B518" t="s">
        <v>1662</v>
      </c>
      <c r="C518" s="2">
        <v>44761</v>
      </c>
      <c r="D518">
        <v>896</v>
      </c>
      <c r="E518">
        <v>562.04999999999995</v>
      </c>
      <c r="F518" t="s">
        <v>1661</v>
      </c>
    </row>
    <row r="519" spans="1:6">
      <c r="A519" t="s">
        <v>1101</v>
      </c>
      <c r="B519" t="s">
        <v>1664</v>
      </c>
      <c r="C519" s="2">
        <v>44790</v>
      </c>
      <c r="D519">
        <v>752</v>
      </c>
      <c r="E519">
        <v>252.09</v>
      </c>
      <c r="F519" t="s">
        <v>1663</v>
      </c>
    </row>
    <row r="520" spans="1:6">
      <c r="A520" t="s">
        <v>1103</v>
      </c>
      <c r="B520" t="s">
        <v>1666</v>
      </c>
      <c r="C520" s="2">
        <v>44782</v>
      </c>
      <c r="D520">
        <v>266</v>
      </c>
      <c r="E520">
        <v>194.74</v>
      </c>
      <c r="F520" t="s">
        <v>1665</v>
      </c>
    </row>
    <row r="521" spans="1:6">
      <c r="A521" t="s">
        <v>1105</v>
      </c>
      <c r="B521" t="s">
        <v>1660</v>
      </c>
      <c r="C521" s="2">
        <v>44802</v>
      </c>
      <c r="D521">
        <v>208</v>
      </c>
      <c r="E521">
        <v>123.37</v>
      </c>
      <c r="F521" t="s">
        <v>1667</v>
      </c>
    </row>
    <row r="522" spans="1:6">
      <c r="A522" t="s">
        <v>1107</v>
      </c>
      <c r="B522" t="s">
        <v>1662</v>
      </c>
      <c r="C522" s="2">
        <v>44791</v>
      </c>
      <c r="D522">
        <v>238</v>
      </c>
      <c r="E522">
        <v>0.48</v>
      </c>
      <c r="F522" t="s">
        <v>1661</v>
      </c>
    </row>
    <row r="523" spans="1:6">
      <c r="A523" t="s">
        <v>1109</v>
      </c>
      <c r="B523" t="s">
        <v>1664</v>
      </c>
      <c r="C523" s="2">
        <v>44795</v>
      </c>
      <c r="D523">
        <v>384</v>
      </c>
      <c r="E523">
        <v>211.33</v>
      </c>
      <c r="F523" t="s">
        <v>1663</v>
      </c>
    </row>
    <row r="524" spans="1:6">
      <c r="A524" t="s">
        <v>1111</v>
      </c>
      <c r="B524" t="s">
        <v>1666</v>
      </c>
      <c r="C524" s="2">
        <v>44759</v>
      </c>
      <c r="D524">
        <v>420</v>
      </c>
      <c r="E524">
        <v>406.6</v>
      </c>
      <c r="F524" t="s">
        <v>1665</v>
      </c>
    </row>
    <row r="525" spans="1:6">
      <c r="A525" t="s">
        <v>1113</v>
      </c>
      <c r="B525" t="s">
        <v>1668</v>
      </c>
      <c r="C525" s="2">
        <v>44756</v>
      </c>
      <c r="D525">
        <v>772</v>
      </c>
      <c r="E525">
        <v>620.05999999999995</v>
      </c>
      <c r="F525" t="s">
        <v>1667</v>
      </c>
    </row>
    <row r="526" spans="1:6">
      <c r="A526" t="s">
        <v>1115</v>
      </c>
      <c r="B526" t="s">
        <v>1669</v>
      </c>
      <c r="C526" s="2">
        <v>44786</v>
      </c>
      <c r="D526">
        <v>755</v>
      </c>
      <c r="E526">
        <v>262.08999999999997</v>
      </c>
      <c r="F526" t="s">
        <v>1661</v>
      </c>
    </row>
    <row r="527" spans="1:6">
      <c r="A527" t="s">
        <v>1117</v>
      </c>
      <c r="B527" t="s">
        <v>1660</v>
      </c>
      <c r="C527" s="2">
        <v>44757</v>
      </c>
      <c r="D527">
        <v>675</v>
      </c>
      <c r="E527">
        <v>86.23</v>
      </c>
      <c r="F527" t="s">
        <v>1663</v>
      </c>
    </row>
    <row r="528" spans="1:6">
      <c r="A528" t="s">
        <v>1119</v>
      </c>
      <c r="B528" t="s">
        <v>1662</v>
      </c>
      <c r="C528" s="2">
        <v>44787</v>
      </c>
      <c r="D528">
        <v>411</v>
      </c>
      <c r="E528">
        <v>382.96</v>
      </c>
      <c r="F528" t="s">
        <v>1665</v>
      </c>
    </row>
    <row r="529" spans="1:6">
      <c r="A529" t="s">
        <v>1121</v>
      </c>
      <c r="B529" t="s">
        <v>1664</v>
      </c>
      <c r="C529" s="2">
        <v>44763</v>
      </c>
      <c r="D529">
        <v>514</v>
      </c>
      <c r="E529">
        <v>165.14</v>
      </c>
      <c r="F529" t="s">
        <v>1667</v>
      </c>
    </row>
    <row r="530" spans="1:6">
      <c r="A530" t="s">
        <v>1123</v>
      </c>
      <c r="B530" t="s">
        <v>1666</v>
      </c>
      <c r="C530" s="2">
        <v>44799</v>
      </c>
      <c r="D530">
        <v>750</v>
      </c>
      <c r="E530">
        <v>143.61000000000001</v>
      </c>
      <c r="F530" t="s">
        <v>1661</v>
      </c>
    </row>
    <row r="531" spans="1:6">
      <c r="A531" t="s">
        <v>1125</v>
      </c>
      <c r="B531" t="s">
        <v>1660</v>
      </c>
      <c r="C531" s="2">
        <v>44798</v>
      </c>
      <c r="D531">
        <v>279</v>
      </c>
      <c r="E531">
        <v>238.93</v>
      </c>
      <c r="F531" t="s">
        <v>1663</v>
      </c>
    </row>
    <row r="532" spans="1:6">
      <c r="A532" t="s">
        <v>1127</v>
      </c>
      <c r="B532" t="s">
        <v>1662</v>
      </c>
      <c r="C532" s="2">
        <v>44807</v>
      </c>
      <c r="D532">
        <v>284</v>
      </c>
      <c r="E532">
        <v>202.1</v>
      </c>
      <c r="F532" t="s">
        <v>1665</v>
      </c>
    </row>
    <row r="533" spans="1:6">
      <c r="A533" t="s">
        <v>1129</v>
      </c>
      <c r="B533" t="s">
        <v>1664</v>
      </c>
      <c r="C533" s="2">
        <v>44769</v>
      </c>
      <c r="D533">
        <v>509</v>
      </c>
      <c r="E533">
        <v>370.15</v>
      </c>
      <c r="F533" t="s">
        <v>1667</v>
      </c>
    </row>
    <row r="534" spans="1:6">
      <c r="A534" t="s">
        <v>1131</v>
      </c>
      <c r="B534" t="s">
        <v>1666</v>
      </c>
      <c r="C534" s="2">
        <v>44779</v>
      </c>
      <c r="D534">
        <v>207</v>
      </c>
      <c r="E534">
        <v>38.89</v>
      </c>
      <c r="F534" t="s">
        <v>1661</v>
      </c>
    </row>
    <row r="535" spans="1:6">
      <c r="A535" t="s">
        <v>1133</v>
      </c>
      <c r="B535" t="s">
        <v>1668</v>
      </c>
      <c r="C535" s="2">
        <v>44769</v>
      </c>
      <c r="D535">
        <v>509</v>
      </c>
      <c r="E535">
        <v>404.29</v>
      </c>
      <c r="F535" t="s">
        <v>1663</v>
      </c>
    </row>
    <row r="536" spans="1:6">
      <c r="A536" t="s">
        <v>1135</v>
      </c>
      <c r="B536" t="s">
        <v>1660</v>
      </c>
      <c r="C536" s="2">
        <v>44756</v>
      </c>
      <c r="D536">
        <v>371</v>
      </c>
      <c r="E536">
        <v>18.059999999999999</v>
      </c>
      <c r="F536" t="s">
        <v>1665</v>
      </c>
    </row>
    <row r="537" spans="1:6">
      <c r="A537" t="s">
        <v>1137</v>
      </c>
      <c r="B537" t="s">
        <v>1662</v>
      </c>
      <c r="C537" s="2">
        <v>44799</v>
      </c>
      <c r="D537">
        <v>699</v>
      </c>
      <c r="E537">
        <v>414.27</v>
      </c>
      <c r="F537" t="s">
        <v>1667</v>
      </c>
    </row>
    <row r="538" spans="1:6">
      <c r="A538" t="s">
        <v>1139</v>
      </c>
      <c r="B538" t="s">
        <v>1664</v>
      </c>
      <c r="C538" s="2">
        <v>44807</v>
      </c>
      <c r="D538">
        <v>306</v>
      </c>
      <c r="E538">
        <v>104.25</v>
      </c>
      <c r="F538" t="s">
        <v>1661</v>
      </c>
    </row>
    <row r="539" spans="1:6">
      <c r="A539" t="s">
        <v>1141</v>
      </c>
      <c r="B539" t="s">
        <v>1666</v>
      </c>
      <c r="C539" s="2">
        <v>44769</v>
      </c>
      <c r="D539">
        <v>432</v>
      </c>
      <c r="E539">
        <v>70.290000000000006</v>
      </c>
      <c r="F539" t="s">
        <v>1663</v>
      </c>
    </row>
    <row r="540" spans="1:6">
      <c r="A540" t="s">
        <v>1143</v>
      </c>
      <c r="B540" t="s">
        <v>1660</v>
      </c>
      <c r="C540" s="2">
        <v>44805</v>
      </c>
      <c r="D540">
        <v>339</v>
      </c>
      <c r="E540">
        <v>328.16</v>
      </c>
      <c r="F540" t="s">
        <v>1665</v>
      </c>
    </row>
    <row r="541" spans="1:6">
      <c r="A541" t="s">
        <v>1145</v>
      </c>
      <c r="B541" t="s">
        <v>1662</v>
      </c>
      <c r="C541" s="2">
        <v>44796</v>
      </c>
      <c r="D541">
        <v>802</v>
      </c>
      <c r="E541">
        <v>84</v>
      </c>
      <c r="F541" t="s">
        <v>1667</v>
      </c>
    </row>
    <row r="542" spans="1:6">
      <c r="A542" t="s">
        <v>1147</v>
      </c>
      <c r="B542" t="s">
        <v>1664</v>
      </c>
      <c r="C542" s="2">
        <v>44798</v>
      </c>
      <c r="D542">
        <v>674</v>
      </c>
      <c r="E542">
        <v>219.84</v>
      </c>
      <c r="F542" t="s">
        <v>1661</v>
      </c>
    </row>
    <row r="543" spans="1:6">
      <c r="A543" t="s">
        <v>1149</v>
      </c>
      <c r="B543" t="s">
        <v>1666</v>
      </c>
      <c r="C543" s="2">
        <v>44756</v>
      </c>
      <c r="D543">
        <v>399</v>
      </c>
      <c r="E543">
        <v>183.86</v>
      </c>
      <c r="F543" t="s">
        <v>1663</v>
      </c>
    </row>
    <row r="544" spans="1:6">
      <c r="A544" t="s">
        <v>1151</v>
      </c>
      <c r="B544" t="s">
        <v>1668</v>
      </c>
      <c r="C544" s="2">
        <v>44800</v>
      </c>
      <c r="D544">
        <v>691</v>
      </c>
      <c r="E544">
        <v>608.65</v>
      </c>
      <c r="F544" t="s">
        <v>1665</v>
      </c>
    </row>
    <row r="545" spans="1:6">
      <c r="A545" t="s">
        <v>1153</v>
      </c>
      <c r="B545" t="s">
        <v>1669</v>
      </c>
      <c r="C545" s="2">
        <v>44758</v>
      </c>
      <c r="D545">
        <v>229</v>
      </c>
      <c r="E545">
        <v>224.23</v>
      </c>
      <c r="F545" t="s">
        <v>1667</v>
      </c>
    </row>
    <row r="546" spans="1:6">
      <c r="A546" t="s">
        <v>1155</v>
      </c>
      <c r="B546" t="s">
        <v>1660</v>
      </c>
      <c r="C546" s="2">
        <v>44788</v>
      </c>
      <c r="D546">
        <v>350</v>
      </c>
      <c r="E546">
        <v>280.12</v>
      </c>
      <c r="F546" t="s">
        <v>1661</v>
      </c>
    </row>
    <row r="547" spans="1:6">
      <c r="A547" t="s">
        <v>1157</v>
      </c>
      <c r="B547" t="s">
        <v>1662</v>
      </c>
      <c r="C547" s="2">
        <v>44793</v>
      </c>
      <c r="D547">
        <v>713</v>
      </c>
      <c r="E547">
        <v>266.67</v>
      </c>
      <c r="F547" t="s">
        <v>1663</v>
      </c>
    </row>
    <row r="548" spans="1:6">
      <c r="A548" t="s">
        <v>1159</v>
      </c>
      <c r="B548" t="s">
        <v>1664</v>
      </c>
      <c r="C548" s="2">
        <v>44784</v>
      </c>
      <c r="D548">
        <v>384</v>
      </c>
      <c r="E548">
        <v>17.100000000000001</v>
      </c>
      <c r="F548" t="s">
        <v>1665</v>
      </c>
    </row>
    <row r="549" spans="1:6">
      <c r="A549" t="s">
        <v>1161</v>
      </c>
      <c r="B549" t="s">
        <v>1666</v>
      </c>
      <c r="C549" s="2">
        <v>44793</v>
      </c>
      <c r="D549">
        <v>446</v>
      </c>
      <c r="E549">
        <v>407.13</v>
      </c>
      <c r="F549" t="s">
        <v>1667</v>
      </c>
    </row>
    <row r="550" spans="1:6">
      <c r="A550" t="s">
        <v>1163</v>
      </c>
      <c r="B550" t="s">
        <v>1660</v>
      </c>
      <c r="C550" s="2">
        <v>44796</v>
      </c>
      <c r="D550">
        <v>585</v>
      </c>
      <c r="E550">
        <v>478.23</v>
      </c>
      <c r="F550" t="s">
        <v>1661</v>
      </c>
    </row>
    <row r="551" spans="1:6">
      <c r="A551" t="s">
        <v>1165</v>
      </c>
      <c r="B551" t="s">
        <v>1662</v>
      </c>
      <c r="C551" s="2">
        <v>44758</v>
      </c>
      <c r="D551">
        <v>623</v>
      </c>
      <c r="E551">
        <v>244.23</v>
      </c>
      <c r="F551" t="s">
        <v>1663</v>
      </c>
    </row>
    <row r="552" spans="1:6">
      <c r="A552" t="s">
        <v>1167</v>
      </c>
      <c r="B552" t="s">
        <v>1664</v>
      </c>
      <c r="C552" s="2">
        <v>44757</v>
      </c>
      <c r="D552">
        <v>351</v>
      </c>
      <c r="E552">
        <v>306.33</v>
      </c>
      <c r="F552" t="s">
        <v>1665</v>
      </c>
    </row>
    <row r="553" spans="1:6">
      <c r="A553" t="s">
        <v>1169</v>
      </c>
      <c r="B553" t="s">
        <v>1666</v>
      </c>
      <c r="C553" s="2">
        <v>44758</v>
      </c>
      <c r="D553">
        <v>224</v>
      </c>
      <c r="E553">
        <v>145.07</v>
      </c>
      <c r="F553" t="s">
        <v>1667</v>
      </c>
    </row>
    <row r="554" spans="1:6">
      <c r="A554" t="s">
        <v>1171</v>
      </c>
      <c r="B554" t="s">
        <v>1660</v>
      </c>
      <c r="C554" s="2">
        <v>44800</v>
      </c>
      <c r="D554">
        <v>445</v>
      </c>
      <c r="E554">
        <v>18.84</v>
      </c>
      <c r="F554" t="s">
        <v>1661</v>
      </c>
    </row>
    <row r="555" spans="1:6">
      <c r="A555" t="s">
        <v>1173</v>
      </c>
      <c r="B555" t="s">
        <v>1662</v>
      </c>
      <c r="C555" s="2">
        <v>44780</v>
      </c>
      <c r="D555">
        <v>410</v>
      </c>
      <c r="E555">
        <v>29.81</v>
      </c>
      <c r="F555" t="s">
        <v>1663</v>
      </c>
    </row>
    <row r="556" spans="1:6">
      <c r="A556" t="s">
        <v>1175</v>
      </c>
      <c r="B556" t="s">
        <v>1664</v>
      </c>
      <c r="C556" s="2">
        <v>44807</v>
      </c>
      <c r="D556">
        <v>842</v>
      </c>
      <c r="E556">
        <v>373.82</v>
      </c>
      <c r="F556" t="s">
        <v>1665</v>
      </c>
    </row>
    <row r="557" spans="1:6">
      <c r="A557" t="s">
        <v>1177</v>
      </c>
      <c r="B557" t="s">
        <v>1666</v>
      </c>
      <c r="C557" s="2">
        <v>44798</v>
      </c>
      <c r="D557">
        <v>772</v>
      </c>
      <c r="E557">
        <v>92.83</v>
      </c>
      <c r="F557" t="s">
        <v>1667</v>
      </c>
    </row>
    <row r="558" spans="1:6">
      <c r="A558" t="s">
        <v>1179</v>
      </c>
      <c r="B558" t="s">
        <v>1660</v>
      </c>
      <c r="C558" s="2">
        <v>44810</v>
      </c>
      <c r="D558">
        <v>711</v>
      </c>
      <c r="E558">
        <v>643.05999999999995</v>
      </c>
      <c r="F558" t="s">
        <v>1661</v>
      </c>
    </row>
    <row r="559" spans="1:6">
      <c r="A559" t="s">
        <v>1181</v>
      </c>
      <c r="B559" t="s">
        <v>1662</v>
      </c>
      <c r="C559" s="2">
        <v>44764</v>
      </c>
      <c r="D559">
        <v>683</v>
      </c>
      <c r="E559">
        <v>676.11</v>
      </c>
      <c r="F559" t="s">
        <v>1663</v>
      </c>
    </row>
    <row r="560" spans="1:6">
      <c r="A560" t="s">
        <v>1183</v>
      </c>
      <c r="B560" t="s">
        <v>1664</v>
      </c>
      <c r="C560" s="2">
        <v>44766</v>
      </c>
      <c r="D560">
        <v>261</v>
      </c>
      <c r="E560">
        <v>102.09</v>
      </c>
      <c r="F560" t="s">
        <v>1665</v>
      </c>
    </row>
    <row r="561" spans="1:6">
      <c r="A561" t="s">
        <v>1185</v>
      </c>
      <c r="B561" t="s">
        <v>1666</v>
      </c>
      <c r="C561" s="2">
        <v>44794</v>
      </c>
      <c r="D561">
        <v>616</v>
      </c>
      <c r="E561">
        <v>615.79</v>
      </c>
      <c r="F561" t="s">
        <v>1667</v>
      </c>
    </row>
    <row r="562" spans="1:6">
      <c r="A562" t="s">
        <v>1187</v>
      </c>
      <c r="B562" t="s">
        <v>1668</v>
      </c>
      <c r="C562" s="2">
        <v>44800</v>
      </c>
      <c r="D562">
        <v>775</v>
      </c>
      <c r="E562">
        <v>164.29</v>
      </c>
      <c r="F562" t="s">
        <v>1661</v>
      </c>
    </row>
    <row r="563" spans="1:6">
      <c r="A563" t="s">
        <v>1189</v>
      </c>
      <c r="B563" t="s">
        <v>1660</v>
      </c>
      <c r="C563" s="2">
        <v>44792</v>
      </c>
      <c r="D563">
        <v>616</v>
      </c>
      <c r="E563">
        <v>361.74</v>
      </c>
      <c r="F563" t="s">
        <v>1663</v>
      </c>
    </row>
    <row r="564" spans="1:6">
      <c r="A564" t="s">
        <v>1191</v>
      </c>
      <c r="B564" t="s">
        <v>1662</v>
      </c>
      <c r="C564" s="2">
        <v>44809</v>
      </c>
      <c r="D564">
        <v>252</v>
      </c>
      <c r="E564">
        <v>6.24</v>
      </c>
      <c r="F564" t="s">
        <v>1665</v>
      </c>
    </row>
    <row r="565" spans="1:6">
      <c r="A565" t="s">
        <v>1193</v>
      </c>
      <c r="B565" t="s">
        <v>1664</v>
      </c>
      <c r="C565" s="2">
        <v>44789</v>
      </c>
      <c r="D565">
        <v>754</v>
      </c>
      <c r="E565">
        <v>499.92</v>
      </c>
      <c r="F565" t="s">
        <v>1667</v>
      </c>
    </row>
    <row r="566" spans="1:6">
      <c r="A566" t="s">
        <v>1195</v>
      </c>
      <c r="B566" t="s">
        <v>1666</v>
      </c>
      <c r="C566" s="2">
        <v>44757</v>
      </c>
      <c r="D566">
        <v>614</v>
      </c>
      <c r="E566">
        <v>95.28</v>
      </c>
      <c r="F566" t="s">
        <v>1661</v>
      </c>
    </row>
    <row r="567" spans="1:6">
      <c r="A567" t="s">
        <v>1197</v>
      </c>
      <c r="B567" t="s">
        <v>1660</v>
      </c>
      <c r="C567" s="2">
        <v>44790</v>
      </c>
      <c r="D567">
        <v>413</v>
      </c>
      <c r="E567">
        <v>360.83</v>
      </c>
      <c r="F567" t="s">
        <v>1663</v>
      </c>
    </row>
    <row r="568" spans="1:6">
      <c r="A568" t="s">
        <v>1199</v>
      </c>
      <c r="B568" t="s">
        <v>1662</v>
      </c>
      <c r="C568" s="2">
        <v>44808</v>
      </c>
      <c r="D568">
        <v>895</v>
      </c>
      <c r="E568">
        <v>681.21</v>
      </c>
      <c r="F568" t="s">
        <v>1665</v>
      </c>
    </row>
    <row r="569" spans="1:6">
      <c r="A569" t="s">
        <v>1201</v>
      </c>
      <c r="B569" t="s">
        <v>1664</v>
      </c>
      <c r="C569" s="2">
        <v>44801</v>
      </c>
      <c r="D569">
        <v>460</v>
      </c>
      <c r="E569">
        <v>195.5</v>
      </c>
      <c r="F569" t="s">
        <v>1667</v>
      </c>
    </row>
    <row r="570" spans="1:6">
      <c r="A570" t="s">
        <v>1203</v>
      </c>
      <c r="B570" t="s">
        <v>1666</v>
      </c>
      <c r="C570" s="2">
        <v>44769</v>
      </c>
      <c r="D570">
        <v>681</v>
      </c>
      <c r="E570">
        <v>236.85</v>
      </c>
      <c r="F570" t="s">
        <v>1661</v>
      </c>
    </row>
    <row r="571" spans="1:6">
      <c r="A571" t="s">
        <v>1205</v>
      </c>
      <c r="B571" t="s">
        <v>1668</v>
      </c>
      <c r="C571" s="2">
        <v>44757</v>
      </c>
      <c r="D571">
        <v>548</v>
      </c>
      <c r="E571">
        <v>33.020000000000003</v>
      </c>
      <c r="F571" t="s">
        <v>1663</v>
      </c>
    </row>
    <row r="572" spans="1:6">
      <c r="A572" t="s">
        <v>1207</v>
      </c>
      <c r="B572" t="s">
        <v>1669</v>
      </c>
      <c r="C572" s="2">
        <v>44759</v>
      </c>
      <c r="D572">
        <v>264</v>
      </c>
      <c r="E572">
        <v>210.42</v>
      </c>
      <c r="F572" t="s">
        <v>1665</v>
      </c>
    </row>
    <row r="573" spans="1:6">
      <c r="A573" t="s">
        <v>1209</v>
      </c>
      <c r="B573" t="s">
        <v>1660</v>
      </c>
      <c r="C573" s="2">
        <v>44805</v>
      </c>
      <c r="D573">
        <v>431</v>
      </c>
      <c r="E573">
        <v>4.3499999999999996</v>
      </c>
      <c r="F573" t="s">
        <v>1667</v>
      </c>
    </row>
    <row r="574" spans="1:6">
      <c r="A574" t="s">
        <v>1211</v>
      </c>
      <c r="B574" t="s">
        <v>1662</v>
      </c>
      <c r="C574" s="2">
        <v>44760</v>
      </c>
      <c r="D574">
        <v>772</v>
      </c>
      <c r="E574">
        <v>314.52999999999997</v>
      </c>
      <c r="F574" t="s">
        <v>1661</v>
      </c>
    </row>
    <row r="575" spans="1:6">
      <c r="A575" t="s">
        <v>1213</v>
      </c>
      <c r="B575" t="s">
        <v>1664</v>
      </c>
      <c r="C575" s="2">
        <v>44791</v>
      </c>
      <c r="D575">
        <v>253</v>
      </c>
      <c r="E575">
        <v>143.16</v>
      </c>
      <c r="F575" t="s">
        <v>1663</v>
      </c>
    </row>
    <row r="576" spans="1:6">
      <c r="A576" t="s">
        <v>1215</v>
      </c>
      <c r="B576" t="s">
        <v>1666</v>
      </c>
      <c r="C576" s="2">
        <v>44768</v>
      </c>
      <c r="D576">
        <v>792</v>
      </c>
      <c r="E576">
        <v>153.47</v>
      </c>
      <c r="F576" t="s">
        <v>1665</v>
      </c>
    </row>
    <row r="577" spans="1:6">
      <c r="A577" t="s">
        <v>1217</v>
      </c>
      <c r="B577" t="s">
        <v>1660</v>
      </c>
      <c r="C577" s="2">
        <v>44759</v>
      </c>
      <c r="D577">
        <v>628</v>
      </c>
      <c r="E577">
        <v>388.51</v>
      </c>
      <c r="F577" t="s">
        <v>1667</v>
      </c>
    </row>
    <row r="578" spans="1:6">
      <c r="A578" t="s">
        <v>1219</v>
      </c>
      <c r="B578" t="s">
        <v>1662</v>
      </c>
      <c r="C578" s="2">
        <v>44781</v>
      </c>
      <c r="D578">
        <v>809</v>
      </c>
      <c r="E578">
        <v>535.29</v>
      </c>
      <c r="F578" t="s">
        <v>1661</v>
      </c>
    </row>
    <row r="579" spans="1:6">
      <c r="A579" t="s">
        <v>1221</v>
      </c>
      <c r="B579" t="s">
        <v>1664</v>
      </c>
      <c r="C579" s="2">
        <v>44785</v>
      </c>
      <c r="D579">
        <v>347</v>
      </c>
      <c r="E579">
        <v>9.86</v>
      </c>
      <c r="F579" t="s">
        <v>1663</v>
      </c>
    </row>
    <row r="580" spans="1:6">
      <c r="A580" t="s">
        <v>1223</v>
      </c>
      <c r="B580" t="s">
        <v>1666</v>
      </c>
      <c r="C580" s="2">
        <v>44775</v>
      </c>
      <c r="D580">
        <v>695</v>
      </c>
      <c r="E580">
        <v>227.11</v>
      </c>
      <c r="F580" t="s">
        <v>1665</v>
      </c>
    </row>
    <row r="581" spans="1:6">
      <c r="A581" t="s">
        <v>1225</v>
      </c>
      <c r="B581" t="s">
        <v>1668</v>
      </c>
      <c r="C581" s="2">
        <v>44773</v>
      </c>
      <c r="D581">
        <v>551</v>
      </c>
      <c r="E581">
        <v>62.2</v>
      </c>
      <c r="F581" t="s">
        <v>1667</v>
      </c>
    </row>
    <row r="582" spans="1:6">
      <c r="A582" t="s">
        <v>1227</v>
      </c>
      <c r="B582" t="s">
        <v>1660</v>
      </c>
      <c r="C582" s="2">
        <v>44796</v>
      </c>
      <c r="D582">
        <v>274</v>
      </c>
      <c r="E582">
        <v>17.510000000000002</v>
      </c>
      <c r="F582" t="s">
        <v>1661</v>
      </c>
    </row>
    <row r="583" spans="1:6">
      <c r="A583" t="s">
        <v>1229</v>
      </c>
      <c r="B583" t="s">
        <v>1662</v>
      </c>
      <c r="C583" s="2">
        <v>44801</v>
      </c>
      <c r="D583">
        <v>623</v>
      </c>
      <c r="E583">
        <v>372.85</v>
      </c>
      <c r="F583" t="s">
        <v>1663</v>
      </c>
    </row>
    <row r="584" spans="1:6">
      <c r="A584" t="s">
        <v>1231</v>
      </c>
      <c r="B584" t="s">
        <v>1664</v>
      </c>
      <c r="C584" s="2">
        <v>44779</v>
      </c>
      <c r="D584">
        <v>577</v>
      </c>
      <c r="E584">
        <v>200.49</v>
      </c>
      <c r="F584" t="s">
        <v>1665</v>
      </c>
    </row>
    <row r="585" spans="1:6">
      <c r="A585" t="s">
        <v>1233</v>
      </c>
      <c r="B585" t="s">
        <v>1666</v>
      </c>
      <c r="C585" s="2">
        <v>44772</v>
      </c>
      <c r="D585">
        <v>479</v>
      </c>
      <c r="E585">
        <v>148.02000000000001</v>
      </c>
      <c r="F585" t="s">
        <v>1667</v>
      </c>
    </row>
    <row r="586" spans="1:6">
      <c r="A586" t="s">
        <v>1235</v>
      </c>
      <c r="B586" t="s">
        <v>1660</v>
      </c>
      <c r="C586" s="2">
        <v>44757</v>
      </c>
      <c r="D586">
        <v>541</v>
      </c>
      <c r="E586">
        <v>1.17</v>
      </c>
      <c r="F586" t="s">
        <v>1661</v>
      </c>
    </row>
    <row r="587" spans="1:6">
      <c r="A587" t="s">
        <v>1237</v>
      </c>
      <c r="B587" t="s">
        <v>1662</v>
      </c>
      <c r="C587" s="2">
        <v>44808</v>
      </c>
      <c r="D587">
        <v>878</v>
      </c>
      <c r="E587">
        <v>218.27</v>
      </c>
      <c r="F587" t="s">
        <v>1663</v>
      </c>
    </row>
    <row r="588" spans="1:6">
      <c r="A588" t="s">
        <v>1239</v>
      </c>
      <c r="B588" t="s">
        <v>1664</v>
      </c>
      <c r="C588" s="2">
        <v>44782</v>
      </c>
      <c r="D588">
        <v>822</v>
      </c>
      <c r="E588">
        <v>103.81</v>
      </c>
      <c r="F588" t="s">
        <v>1665</v>
      </c>
    </row>
    <row r="589" spans="1:6">
      <c r="A589" t="s">
        <v>1241</v>
      </c>
      <c r="B589" t="s">
        <v>1666</v>
      </c>
      <c r="C589" s="2">
        <v>44787</v>
      </c>
      <c r="D589">
        <v>319</v>
      </c>
      <c r="E589">
        <v>220.11</v>
      </c>
      <c r="F589" t="s">
        <v>1667</v>
      </c>
    </row>
    <row r="590" spans="1:6">
      <c r="A590" t="s">
        <v>1243</v>
      </c>
      <c r="B590" t="s">
        <v>1668</v>
      </c>
      <c r="C590" s="2">
        <v>44787</v>
      </c>
      <c r="D590">
        <v>583</v>
      </c>
      <c r="E590">
        <v>70.34</v>
      </c>
      <c r="F590" t="s">
        <v>1661</v>
      </c>
    </row>
    <row r="591" spans="1:6">
      <c r="A591" t="s">
        <v>1245</v>
      </c>
      <c r="B591" t="s">
        <v>1669</v>
      </c>
      <c r="C591" s="2">
        <v>44757</v>
      </c>
      <c r="D591">
        <v>326</v>
      </c>
      <c r="E591">
        <v>244.47</v>
      </c>
      <c r="F591" t="s">
        <v>1663</v>
      </c>
    </row>
    <row r="592" spans="1:6">
      <c r="A592" t="s">
        <v>1247</v>
      </c>
      <c r="B592" t="s">
        <v>1660</v>
      </c>
      <c r="C592" s="2">
        <v>44761</v>
      </c>
      <c r="D592">
        <v>345</v>
      </c>
      <c r="E592">
        <v>40.659999999999997</v>
      </c>
      <c r="F592" t="s">
        <v>1665</v>
      </c>
    </row>
    <row r="593" spans="1:6">
      <c r="A593" t="s">
        <v>1249</v>
      </c>
      <c r="B593" t="s">
        <v>1662</v>
      </c>
      <c r="C593" s="2">
        <v>44788</v>
      </c>
      <c r="D593">
        <v>425</v>
      </c>
      <c r="E593">
        <v>201.06</v>
      </c>
      <c r="F593" t="s">
        <v>1667</v>
      </c>
    </row>
    <row r="594" spans="1:6">
      <c r="A594" t="s">
        <v>1251</v>
      </c>
      <c r="B594" t="s">
        <v>1664</v>
      </c>
      <c r="C594" s="2">
        <v>44788</v>
      </c>
      <c r="D594">
        <v>854</v>
      </c>
      <c r="E594">
        <v>150.11000000000001</v>
      </c>
      <c r="F594" t="s">
        <v>1661</v>
      </c>
    </row>
    <row r="595" spans="1:6">
      <c r="A595" t="s">
        <v>1253</v>
      </c>
      <c r="B595" t="s">
        <v>1666</v>
      </c>
      <c r="C595" s="2">
        <v>44758</v>
      </c>
      <c r="D595">
        <v>310</v>
      </c>
      <c r="E595">
        <v>152.58000000000001</v>
      </c>
      <c r="F595" t="s">
        <v>1663</v>
      </c>
    </row>
    <row r="596" spans="1:6">
      <c r="A596" t="s">
        <v>1255</v>
      </c>
      <c r="B596" t="s">
        <v>1660</v>
      </c>
      <c r="C596" s="2">
        <v>44795</v>
      </c>
      <c r="D596">
        <v>387</v>
      </c>
      <c r="E596">
        <v>379.69</v>
      </c>
      <c r="F596" t="s">
        <v>1665</v>
      </c>
    </row>
    <row r="597" spans="1:6">
      <c r="A597" t="s">
        <v>1257</v>
      </c>
      <c r="B597" t="s">
        <v>1662</v>
      </c>
      <c r="C597" s="2">
        <v>44791</v>
      </c>
      <c r="D597">
        <v>402</v>
      </c>
      <c r="E597">
        <v>176.37</v>
      </c>
      <c r="F597" t="s">
        <v>1667</v>
      </c>
    </row>
    <row r="598" spans="1:6">
      <c r="A598" t="s">
        <v>1259</v>
      </c>
      <c r="B598" t="s">
        <v>1664</v>
      </c>
      <c r="C598" s="2">
        <v>44791</v>
      </c>
      <c r="D598">
        <v>808</v>
      </c>
      <c r="E598">
        <v>190.39</v>
      </c>
      <c r="F598" t="s">
        <v>1661</v>
      </c>
    </row>
    <row r="599" spans="1:6">
      <c r="A599" t="s">
        <v>1261</v>
      </c>
      <c r="B599" t="s">
        <v>1666</v>
      </c>
      <c r="C599" s="2">
        <v>44794</v>
      </c>
      <c r="D599">
        <v>668</v>
      </c>
      <c r="E599">
        <v>521.72</v>
      </c>
      <c r="F599" t="s">
        <v>1663</v>
      </c>
    </row>
    <row r="600" spans="1:6">
      <c r="A600" t="s">
        <v>1263</v>
      </c>
      <c r="B600" t="s">
        <v>1660</v>
      </c>
      <c r="C600" s="2">
        <v>44756</v>
      </c>
      <c r="D600">
        <v>534</v>
      </c>
      <c r="E600">
        <v>66.81</v>
      </c>
      <c r="F600" t="s">
        <v>1665</v>
      </c>
    </row>
    <row r="601" spans="1:6">
      <c r="A601" t="s">
        <v>1265</v>
      </c>
      <c r="B601" t="s">
        <v>1662</v>
      </c>
      <c r="C601" s="2">
        <v>44789</v>
      </c>
      <c r="D601">
        <v>689</v>
      </c>
      <c r="E601">
        <v>55.88</v>
      </c>
      <c r="F601" t="s">
        <v>1667</v>
      </c>
    </row>
    <row r="602" spans="1:6">
      <c r="A602" t="s">
        <v>1267</v>
      </c>
      <c r="B602" t="s">
        <v>1664</v>
      </c>
      <c r="C602" s="2">
        <v>44810</v>
      </c>
      <c r="D602">
        <v>237</v>
      </c>
      <c r="E602">
        <v>57.86</v>
      </c>
      <c r="F602" t="s">
        <v>1661</v>
      </c>
    </row>
    <row r="603" spans="1:6">
      <c r="A603" t="s">
        <v>1269</v>
      </c>
      <c r="B603" t="s">
        <v>1666</v>
      </c>
      <c r="C603" s="2">
        <v>44798</v>
      </c>
      <c r="D603">
        <v>525</v>
      </c>
      <c r="E603">
        <v>78.86</v>
      </c>
      <c r="F603" t="s">
        <v>1663</v>
      </c>
    </row>
    <row r="604" spans="1:6">
      <c r="A604" t="s">
        <v>1271</v>
      </c>
      <c r="B604" t="s">
        <v>1660</v>
      </c>
      <c r="C604" s="2">
        <v>44791</v>
      </c>
      <c r="D604">
        <v>643</v>
      </c>
      <c r="E604">
        <v>104.95</v>
      </c>
      <c r="F604" t="s">
        <v>1665</v>
      </c>
    </row>
    <row r="605" spans="1:6">
      <c r="A605" t="s">
        <v>1273</v>
      </c>
      <c r="B605" t="s">
        <v>1662</v>
      </c>
      <c r="C605" s="2">
        <v>44796</v>
      </c>
      <c r="D605">
        <v>308</v>
      </c>
      <c r="E605">
        <v>187.28</v>
      </c>
      <c r="F605" t="s">
        <v>1667</v>
      </c>
    </row>
    <row r="606" spans="1:6">
      <c r="A606" t="s">
        <v>1275</v>
      </c>
      <c r="B606" t="s">
        <v>1664</v>
      </c>
      <c r="C606" s="2">
        <v>44810</v>
      </c>
      <c r="D606">
        <v>834</v>
      </c>
      <c r="E606">
        <v>349.9</v>
      </c>
      <c r="F606" t="s">
        <v>1661</v>
      </c>
    </row>
    <row r="607" spans="1:6">
      <c r="A607" t="s">
        <v>1277</v>
      </c>
      <c r="B607" t="s">
        <v>1666</v>
      </c>
      <c r="C607" s="2">
        <v>44791</v>
      </c>
      <c r="D607">
        <v>851</v>
      </c>
      <c r="E607">
        <v>31.7</v>
      </c>
      <c r="F607" t="s">
        <v>1663</v>
      </c>
    </row>
    <row r="608" spans="1:6">
      <c r="A608" t="s">
        <v>1279</v>
      </c>
      <c r="B608" t="s">
        <v>1668</v>
      </c>
      <c r="C608" s="2">
        <v>44797</v>
      </c>
      <c r="D608">
        <v>567</v>
      </c>
      <c r="E608">
        <v>222.2</v>
      </c>
      <c r="F608" t="s">
        <v>1665</v>
      </c>
    </row>
    <row r="609" spans="1:6">
      <c r="A609" t="s">
        <v>1281</v>
      </c>
      <c r="B609" t="s">
        <v>1660</v>
      </c>
      <c r="C609" s="2">
        <v>44777</v>
      </c>
      <c r="D609">
        <v>565</v>
      </c>
      <c r="E609">
        <v>133.51</v>
      </c>
      <c r="F609" t="s">
        <v>1667</v>
      </c>
    </row>
    <row r="610" spans="1:6">
      <c r="A610" t="s">
        <v>1283</v>
      </c>
      <c r="B610" t="s">
        <v>1662</v>
      </c>
      <c r="C610" s="2">
        <v>44802</v>
      </c>
      <c r="D610">
        <v>245</v>
      </c>
      <c r="E610">
        <v>243.38</v>
      </c>
      <c r="F610" t="s">
        <v>1661</v>
      </c>
    </row>
    <row r="611" spans="1:6">
      <c r="A611" t="s">
        <v>1285</v>
      </c>
      <c r="B611" t="s">
        <v>1664</v>
      </c>
      <c r="C611" s="2">
        <v>44758</v>
      </c>
      <c r="D611">
        <v>765</v>
      </c>
      <c r="E611">
        <v>628.01</v>
      </c>
      <c r="F611" t="s">
        <v>1663</v>
      </c>
    </row>
    <row r="612" spans="1:6">
      <c r="A612" t="s">
        <v>1287</v>
      </c>
      <c r="B612" t="s">
        <v>1666</v>
      </c>
      <c r="C612" s="2">
        <v>44768</v>
      </c>
      <c r="D612">
        <v>746</v>
      </c>
      <c r="E612">
        <v>598.1</v>
      </c>
      <c r="F612" t="s">
        <v>1665</v>
      </c>
    </row>
    <row r="613" spans="1:6">
      <c r="A613" t="s">
        <v>1289</v>
      </c>
      <c r="B613" t="s">
        <v>1660</v>
      </c>
      <c r="C613" s="2">
        <v>44756</v>
      </c>
      <c r="D613">
        <v>470</v>
      </c>
      <c r="E613">
        <v>109.26</v>
      </c>
      <c r="F613" t="s">
        <v>1667</v>
      </c>
    </row>
    <row r="614" spans="1:6">
      <c r="A614" t="s">
        <v>1291</v>
      </c>
      <c r="B614" t="s">
        <v>1662</v>
      </c>
      <c r="C614" s="2">
        <v>44809</v>
      </c>
      <c r="D614">
        <v>694</v>
      </c>
      <c r="E614">
        <v>528.72</v>
      </c>
      <c r="F614" t="s">
        <v>1661</v>
      </c>
    </row>
    <row r="615" spans="1:6">
      <c r="A615" t="s">
        <v>1293</v>
      </c>
      <c r="B615" t="s">
        <v>1664</v>
      </c>
      <c r="C615" s="2">
        <v>44801</v>
      </c>
      <c r="D615">
        <v>839</v>
      </c>
      <c r="E615">
        <v>694.64</v>
      </c>
      <c r="F615" t="s">
        <v>1663</v>
      </c>
    </row>
    <row r="616" spans="1:6">
      <c r="A616" t="s">
        <v>1295</v>
      </c>
      <c r="B616" t="s">
        <v>1666</v>
      </c>
      <c r="C616" s="2">
        <v>44794</v>
      </c>
      <c r="D616">
        <v>476</v>
      </c>
      <c r="E616">
        <v>141.51</v>
      </c>
      <c r="F616" t="s">
        <v>1665</v>
      </c>
    </row>
    <row r="617" spans="1:6">
      <c r="A617" t="s">
        <v>1297</v>
      </c>
      <c r="B617" t="s">
        <v>1668</v>
      </c>
      <c r="C617" s="2">
        <v>44792</v>
      </c>
      <c r="D617">
        <v>201</v>
      </c>
      <c r="E617">
        <v>162.29</v>
      </c>
      <c r="F617" t="s">
        <v>1667</v>
      </c>
    </row>
    <row r="618" spans="1:6">
      <c r="A618" t="s">
        <v>1299</v>
      </c>
      <c r="B618" t="s">
        <v>1669</v>
      </c>
      <c r="C618" s="2">
        <v>44770</v>
      </c>
      <c r="D618">
        <v>217</v>
      </c>
      <c r="E618">
        <v>15.74</v>
      </c>
      <c r="F618" t="s">
        <v>1661</v>
      </c>
    </row>
    <row r="619" spans="1:6">
      <c r="A619" t="s">
        <v>1301</v>
      </c>
      <c r="B619" t="s">
        <v>1660</v>
      </c>
      <c r="C619" s="2">
        <v>44761</v>
      </c>
      <c r="D619">
        <v>709</v>
      </c>
      <c r="E619">
        <v>92.77</v>
      </c>
      <c r="F619" t="s">
        <v>1663</v>
      </c>
    </row>
    <row r="620" spans="1:6">
      <c r="A620" t="s">
        <v>1303</v>
      </c>
      <c r="B620" t="s">
        <v>1662</v>
      </c>
      <c r="C620" s="2">
        <v>44773</v>
      </c>
      <c r="D620">
        <v>405</v>
      </c>
      <c r="E620">
        <v>344.51</v>
      </c>
      <c r="F620" t="s">
        <v>1665</v>
      </c>
    </row>
    <row r="621" spans="1:6">
      <c r="A621" t="s">
        <v>1305</v>
      </c>
      <c r="B621" t="s">
        <v>1664</v>
      </c>
      <c r="C621" s="2">
        <v>44766</v>
      </c>
      <c r="D621">
        <v>490</v>
      </c>
      <c r="E621">
        <v>17.72</v>
      </c>
      <c r="F621" t="s">
        <v>1667</v>
      </c>
    </row>
    <row r="622" spans="1:6">
      <c r="A622" t="s">
        <v>1307</v>
      </c>
      <c r="B622" t="s">
        <v>1666</v>
      </c>
      <c r="C622" s="2">
        <v>44793</v>
      </c>
      <c r="D622">
        <v>718</v>
      </c>
      <c r="E622">
        <v>652.41999999999996</v>
      </c>
      <c r="F622" t="s">
        <v>1661</v>
      </c>
    </row>
    <row r="623" spans="1:6">
      <c r="A623" t="s">
        <v>1309</v>
      </c>
      <c r="B623" t="s">
        <v>1660</v>
      </c>
      <c r="C623" s="2">
        <v>44769</v>
      </c>
      <c r="D623">
        <v>298</v>
      </c>
      <c r="E623">
        <v>24.42</v>
      </c>
      <c r="F623" t="s">
        <v>1663</v>
      </c>
    </row>
    <row r="624" spans="1:6">
      <c r="A624" t="s">
        <v>1311</v>
      </c>
      <c r="B624" t="s">
        <v>1662</v>
      </c>
      <c r="C624" s="2">
        <v>44758</v>
      </c>
      <c r="D624">
        <v>612</v>
      </c>
      <c r="E624">
        <v>432.81</v>
      </c>
      <c r="F624" t="s">
        <v>1665</v>
      </c>
    </row>
    <row r="625" spans="1:6">
      <c r="A625" t="s">
        <v>1313</v>
      </c>
      <c r="B625" t="s">
        <v>1664</v>
      </c>
      <c r="C625" s="2">
        <v>44803</v>
      </c>
      <c r="D625">
        <v>797</v>
      </c>
      <c r="E625">
        <v>599.6</v>
      </c>
      <c r="F625" t="s">
        <v>1667</v>
      </c>
    </row>
    <row r="626" spans="1:6">
      <c r="A626" t="s">
        <v>1315</v>
      </c>
      <c r="B626" t="s">
        <v>1666</v>
      </c>
      <c r="C626" s="2">
        <v>44808</v>
      </c>
      <c r="D626">
        <v>448</v>
      </c>
      <c r="E626">
        <v>353.75</v>
      </c>
      <c r="F626" t="s">
        <v>1661</v>
      </c>
    </row>
    <row r="627" spans="1:6">
      <c r="A627" t="s">
        <v>1317</v>
      </c>
      <c r="B627" t="s">
        <v>1668</v>
      </c>
      <c r="C627" s="2">
        <v>44784</v>
      </c>
      <c r="D627">
        <v>512</v>
      </c>
      <c r="E627">
        <v>350.17</v>
      </c>
      <c r="F627" t="s">
        <v>1663</v>
      </c>
    </row>
    <row r="628" spans="1:6">
      <c r="A628" t="s">
        <v>1319</v>
      </c>
      <c r="B628" t="s">
        <v>1660</v>
      </c>
      <c r="C628" s="2">
        <v>44764</v>
      </c>
      <c r="D628">
        <v>427</v>
      </c>
      <c r="E628">
        <v>334.95</v>
      </c>
      <c r="F628" t="s">
        <v>1665</v>
      </c>
    </row>
    <row r="629" spans="1:6">
      <c r="A629" t="s">
        <v>1321</v>
      </c>
      <c r="B629" t="s">
        <v>1662</v>
      </c>
      <c r="C629" s="2">
        <v>44795</v>
      </c>
      <c r="D629">
        <v>256</v>
      </c>
      <c r="E629">
        <v>56.6</v>
      </c>
      <c r="F629" t="s">
        <v>1667</v>
      </c>
    </row>
    <row r="630" spans="1:6">
      <c r="A630" t="s">
        <v>1323</v>
      </c>
      <c r="B630" t="s">
        <v>1664</v>
      </c>
      <c r="C630" s="2">
        <v>44799</v>
      </c>
      <c r="D630">
        <v>413</v>
      </c>
      <c r="E630">
        <v>72.069999999999993</v>
      </c>
      <c r="F630" t="s">
        <v>1661</v>
      </c>
    </row>
    <row r="631" spans="1:6">
      <c r="A631" t="s">
        <v>1325</v>
      </c>
      <c r="B631" t="s">
        <v>1666</v>
      </c>
      <c r="C631" s="2">
        <v>44800</v>
      </c>
      <c r="D631">
        <v>565</v>
      </c>
      <c r="E631">
        <v>160.52000000000001</v>
      </c>
      <c r="F631" t="s">
        <v>1663</v>
      </c>
    </row>
    <row r="632" spans="1:6">
      <c r="A632" t="s">
        <v>1327</v>
      </c>
      <c r="B632" t="s">
        <v>1660</v>
      </c>
      <c r="C632" s="2">
        <v>44771</v>
      </c>
      <c r="D632">
        <v>797</v>
      </c>
      <c r="E632">
        <v>225.43</v>
      </c>
      <c r="F632" t="s">
        <v>1665</v>
      </c>
    </row>
    <row r="633" spans="1:6">
      <c r="A633" t="s">
        <v>1329</v>
      </c>
      <c r="B633" t="s">
        <v>1662</v>
      </c>
      <c r="C633" s="2">
        <v>44760</v>
      </c>
      <c r="D633">
        <v>828</v>
      </c>
      <c r="E633">
        <v>209.65</v>
      </c>
      <c r="F633" t="s">
        <v>1667</v>
      </c>
    </row>
    <row r="634" spans="1:6">
      <c r="A634" t="s">
        <v>1331</v>
      </c>
      <c r="B634" t="s">
        <v>1664</v>
      </c>
      <c r="C634" s="2">
        <v>44778</v>
      </c>
      <c r="D634">
        <v>217</v>
      </c>
      <c r="E634">
        <v>95.77</v>
      </c>
      <c r="F634" t="s">
        <v>1661</v>
      </c>
    </row>
    <row r="635" spans="1:6">
      <c r="A635" t="s">
        <v>1333</v>
      </c>
      <c r="B635" t="s">
        <v>1666</v>
      </c>
      <c r="C635" s="2">
        <v>44755</v>
      </c>
      <c r="D635">
        <v>701</v>
      </c>
      <c r="E635">
        <v>308.41000000000003</v>
      </c>
      <c r="F635" t="s">
        <v>1663</v>
      </c>
    </row>
    <row r="636" spans="1:6">
      <c r="A636" t="s">
        <v>1335</v>
      </c>
      <c r="B636" t="s">
        <v>1668</v>
      </c>
      <c r="C636" s="2">
        <v>44770</v>
      </c>
      <c r="D636">
        <v>613</v>
      </c>
      <c r="E636">
        <v>270.06</v>
      </c>
      <c r="F636" t="s">
        <v>1665</v>
      </c>
    </row>
    <row r="637" spans="1:6">
      <c r="A637" t="s">
        <v>1337</v>
      </c>
      <c r="B637" t="s">
        <v>1669</v>
      </c>
      <c r="C637" s="2">
        <v>44772</v>
      </c>
      <c r="D637">
        <v>513</v>
      </c>
      <c r="E637">
        <v>416.6</v>
      </c>
      <c r="F637" t="s">
        <v>1667</v>
      </c>
    </row>
    <row r="638" spans="1:6">
      <c r="A638" t="s">
        <v>1339</v>
      </c>
      <c r="B638" t="s">
        <v>1660</v>
      </c>
      <c r="C638" s="2">
        <v>44799</v>
      </c>
      <c r="D638">
        <v>447</v>
      </c>
      <c r="E638">
        <v>309.19</v>
      </c>
      <c r="F638" t="s">
        <v>1661</v>
      </c>
    </row>
    <row r="639" spans="1:6">
      <c r="A639" t="s">
        <v>1341</v>
      </c>
      <c r="B639" t="s">
        <v>1662</v>
      </c>
      <c r="C639" s="2">
        <v>44782</v>
      </c>
      <c r="D639">
        <v>672</v>
      </c>
      <c r="E639">
        <v>658.53</v>
      </c>
      <c r="F639" t="s">
        <v>1663</v>
      </c>
    </row>
    <row r="640" spans="1:6">
      <c r="A640" t="s">
        <v>1343</v>
      </c>
      <c r="B640" t="s">
        <v>1664</v>
      </c>
      <c r="C640" s="2">
        <v>44761</v>
      </c>
      <c r="D640">
        <v>376</v>
      </c>
      <c r="E640">
        <v>10.56</v>
      </c>
      <c r="F640" t="s">
        <v>1665</v>
      </c>
    </row>
    <row r="641" spans="1:6">
      <c r="A641" t="s">
        <v>1345</v>
      </c>
      <c r="B641" t="s">
        <v>1666</v>
      </c>
      <c r="C641" s="2">
        <v>44794</v>
      </c>
      <c r="D641">
        <v>647</v>
      </c>
      <c r="E641">
        <v>57.97</v>
      </c>
      <c r="F641" t="s">
        <v>1667</v>
      </c>
    </row>
    <row r="642" spans="1:6">
      <c r="A642" t="s">
        <v>1347</v>
      </c>
      <c r="B642" t="s">
        <v>1660</v>
      </c>
      <c r="C642" s="2">
        <v>44762</v>
      </c>
      <c r="D642">
        <v>391</v>
      </c>
      <c r="E642">
        <v>322.61</v>
      </c>
      <c r="F642" t="s">
        <v>1661</v>
      </c>
    </row>
    <row r="643" spans="1:6">
      <c r="A643" t="s">
        <v>1349</v>
      </c>
      <c r="B643" t="s">
        <v>1662</v>
      </c>
      <c r="C643" s="2">
        <v>44769</v>
      </c>
      <c r="D643">
        <v>800</v>
      </c>
      <c r="E643">
        <v>513.64</v>
      </c>
      <c r="F643" t="s">
        <v>1663</v>
      </c>
    </row>
    <row r="644" spans="1:6">
      <c r="A644" t="s">
        <v>1351</v>
      </c>
      <c r="B644" t="s">
        <v>1664</v>
      </c>
      <c r="C644" s="2">
        <v>44770</v>
      </c>
      <c r="D644">
        <v>871</v>
      </c>
      <c r="E644">
        <v>608.69000000000005</v>
      </c>
      <c r="F644" t="s">
        <v>1665</v>
      </c>
    </row>
    <row r="645" spans="1:6">
      <c r="A645" t="s">
        <v>1353</v>
      </c>
      <c r="B645" t="s">
        <v>1666</v>
      </c>
      <c r="C645" s="2">
        <v>44797</v>
      </c>
      <c r="D645">
        <v>758</v>
      </c>
      <c r="E645">
        <v>371.41</v>
      </c>
      <c r="F645" t="s">
        <v>1667</v>
      </c>
    </row>
    <row r="646" spans="1:6">
      <c r="A646" t="s">
        <v>1355</v>
      </c>
      <c r="B646" t="s">
        <v>1660</v>
      </c>
      <c r="C646" s="2">
        <v>44783</v>
      </c>
      <c r="D646">
        <v>433</v>
      </c>
      <c r="E646">
        <v>299.91000000000003</v>
      </c>
      <c r="F646" t="s">
        <v>1661</v>
      </c>
    </row>
    <row r="647" spans="1:6">
      <c r="A647" t="s">
        <v>1357</v>
      </c>
      <c r="B647" t="s">
        <v>1662</v>
      </c>
      <c r="C647" s="2">
        <v>44801</v>
      </c>
      <c r="D647">
        <v>363</v>
      </c>
      <c r="E647">
        <v>73.150000000000006</v>
      </c>
      <c r="F647" t="s">
        <v>1663</v>
      </c>
    </row>
    <row r="648" spans="1:6">
      <c r="A648" t="s">
        <v>1359</v>
      </c>
      <c r="B648" t="s">
        <v>1664</v>
      </c>
      <c r="C648" s="2">
        <v>44808</v>
      </c>
      <c r="D648">
        <v>453</v>
      </c>
      <c r="E648">
        <v>144.97</v>
      </c>
      <c r="F648" t="s">
        <v>1665</v>
      </c>
    </row>
    <row r="649" spans="1:6">
      <c r="A649" t="s">
        <v>1361</v>
      </c>
      <c r="B649" t="s">
        <v>1666</v>
      </c>
      <c r="C649" s="2">
        <v>44808</v>
      </c>
      <c r="D649">
        <v>306</v>
      </c>
      <c r="E649">
        <v>150.1</v>
      </c>
      <c r="F649" t="s">
        <v>1667</v>
      </c>
    </row>
    <row r="650" spans="1:6">
      <c r="A650" t="s">
        <v>1363</v>
      </c>
      <c r="B650" t="s">
        <v>1660</v>
      </c>
      <c r="C650" s="2">
        <v>44781</v>
      </c>
      <c r="D650">
        <v>697</v>
      </c>
      <c r="E650">
        <v>640.86</v>
      </c>
      <c r="F650" t="s">
        <v>1661</v>
      </c>
    </row>
    <row r="651" spans="1:6">
      <c r="A651" t="s">
        <v>1365</v>
      </c>
      <c r="B651" t="s">
        <v>1662</v>
      </c>
      <c r="C651" s="2">
        <v>44783</v>
      </c>
      <c r="D651">
        <v>794</v>
      </c>
      <c r="E651">
        <v>392.91</v>
      </c>
      <c r="F651" t="s">
        <v>1663</v>
      </c>
    </row>
    <row r="652" spans="1:6">
      <c r="A652" t="s">
        <v>1367</v>
      </c>
      <c r="B652" t="s">
        <v>1664</v>
      </c>
      <c r="C652" s="2">
        <v>44762</v>
      </c>
      <c r="D652">
        <v>335</v>
      </c>
      <c r="E652">
        <v>124.44</v>
      </c>
      <c r="F652" t="s">
        <v>1665</v>
      </c>
    </row>
    <row r="653" spans="1:6">
      <c r="A653" t="s">
        <v>1369</v>
      </c>
      <c r="B653" t="s">
        <v>1666</v>
      </c>
      <c r="C653" s="2">
        <v>44800</v>
      </c>
      <c r="D653">
        <v>669</v>
      </c>
      <c r="E653">
        <v>145.26</v>
      </c>
      <c r="F653" t="s">
        <v>1667</v>
      </c>
    </row>
    <row r="654" spans="1:6">
      <c r="A654" t="s">
        <v>1371</v>
      </c>
      <c r="B654" t="s">
        <v>1668</v>
      </c>
      <c r="C654" s="2">
        <v>44799</v>
      </c>
      <c r="D654">
        <v>519</v>
      </c>
      <c r="E654">
        <v>476.52</v>
      </c>
      <c r="F654" t="s">
        <v>1661</v>
      </c>
    </row>
    <row r="655" spans="1:6">
      <c r="A655" t="s">
        <v>1373</v>
      </c>
      <c r="B655" t="s">
        <v>1660</v>
      </c>
      <c r="C655" s="2">
        <v>44777</v>
      </c>
      <c r="D655">
        <v>304</v>
      </c>
      <c r="E655">
        <v>272.07</v>
      </c>
      <c r="F655" t="s">
        <v>1663</v>
      </c>
    </row>
    <row r="656" spans="1:6">
      <c r="A656" t="s">
        <v>1375</v>
      </c>
      <c r="B656" t="s">
        <v>1662</v>
      </c>
      <c r="C656" s="2">
        <v>44800</v>
      </c>
      <c r="D656">
        <v>594</v>
      </c>
      <c r="E656">
        <v>23.7</v>
      </c>
      <c r="F656" t="s">
        <v>1665</v>
      </c>
    </row>
    <row r="657" spans="1:6">
      <c r="A657" t="s">
        <v>1377</v>
      </c>
      <c r="B657" t="s">
        <v>1664</v>
      </c>
      <c r="C657" s="2">
        <v>44770</v>
      </c>
      <c r="D657">
        <v>300</v>
      </c>
      <c r="E657">
        <v>57.38</v>
      </c>
      <c r="F657" t="s">
        <v>1667</v>
      </c>
    </row>
    <row r="658" spans="1:6">
      <c r="A658" t="s">
        <v>1379</v>
      </c>
      <c r="B658" t="s">
        <v>1666</v>
      </c>
      <c r="C658" s="2">
        <v>44774</v>
      </c>
      <c r="D658">
        <v>400</v>
      </c>
      <c r="E658">
        <v>331</v>
      </c>
      <c r="F658" t="s">
        <v>1661</v>
      </c>
    </row>
    <row r="659" spans="1:6">
      <c r="A659" t="s">
        <v>1381</v>
      </c>
      <c r="B659" t="s">
        <v>1660</v>
      </c>
      <c r="C659" s="2">
        <v>44779</v>
      </c>
      <c r="D659">
        <v>495</v>
      </c>
      <c r="E659">
        <v>225.19</v>
      </c>
      <c r="F659" t="s">
        <v>1663</v>
      </c>
    </row>
    <row r="660" spans="1:6">
      <c r="A660" t="s">
        <v>1383</v>
      </c>
      <c r="B660" t="s">
        <v>1662</v>
      </c>
      <c r="C660" s="2">
        <v>44796</v>
      </c>
      <c r="D660">
        <v>526</v>
      </c>
      <c r="E660">
        <v>435.08</v>
      </c>
      <c r="F660" t="s">
        <v>1665</v>
      </c>
    </row>
    <row r="661" spans="1:6">
      <c r="A661" t="s">
        <v>1385</v>
      </c>
      <c r="B661" t="s">
        <v>1664</v>
      </c>
      <c r="C661" s="2">
        <v>44772</v>
      </c>
      <c r="D661">
        <v>243</v>
      </c>
      <c r="E661">
        <v>116.46</v>
      </c>
      <c r="F661" t="s">
        <v>1667</v>
      </c>
    </row>
    <row r="662" spans="1:6">
      <c r="A662" t="s">
        <v>1387</v>
      </c>
      <c r="B662" t="s">
        <v>1666</v>
      </c>
      <c r="C662" s="2">
        <v>44809</v>
      </c>
      <c r="D662">
        <v>637</v>
      </c>
      <c r="E662">
        <v>31.81</v>
      </c>
      <c r="F662" t="s">
        <v>1661</v>
      </c>
    </row>
    <row r="663" spans="1:6">
      <c r="A663" t="s">
        <v>1389</v>
      </c>
      <c r="B663" t="s">
        <v>1668</v>
      </c>
      <c r="C663" s="2">
        <v>44757</v>
      </c>
      <c r="D663">
        <v>270</v>
      </c>
      <c r="E663">
        <v>98.36</v>
      </c>
      <c r="F663" t="s">
        <v>1663</v>
      </c>
    </row>
    <row r="664" spans="1:6">
      <c r="A664" t="s">
        <v>1391</v>
      </c>
      <c r="B664" t="s">
        <v>1669</v>
      </c>
      <c r="C664" s="2">
        <v>44782</v>
      </c>
      <c r="D664">
        <v>364</v>
      </c>
      <c r="E664">
        <v>22.97</v>
      </c>
      <c r="F664" t="s">
        <v>1665</v>
      </c>
    </row>
    <row r="665" spans="1:6">
      <c r="A665" t="s">
        <v>1393</v>
      </c>
      <c r="B665" t="s">
        <v>1660</v>
      </c>
      <c r="C665" s="2">
        <v>44809</v>
      </c>
      <c r="D665">
        <v>645</v>
      </c>
      <c r="E665">
        <v>38.200000000000003</v>
      </c>
      <c r="F665" t="s">
        <v>1667</v>
      </c>
    </row>
    <row r="666" spans="1:6">
      <c r="A666" t="s">
        <v>1395</v>
      </c>
      <c r="B666" t="s">
        <v>1662</v>
      </c>
      <c r="C666" s="2">
        <v>44795</v>
      </c>
      <c r="D666">
        <v>746</v>
      </c>
      <c r="E666">
        <v>242.97</v>
      </c>
      <c r="F666" t="s">
        <v>1661</v>
      </c>
    </row>
    <row r="667" spans="1:6">
      <c r="A667" t="s">
        <v>1397</v>
      </c>
      <c r="B667" t="s">
        <v>1664</v>
      </c>
      <c r="C667" s="2">
        <v>44801</v>
      </c>
      <c r="D667">
        <v>450</v>
      </c>
      <c r="E667">
        <v>164.06</v>
      </c>
      <c r="F667" t="s">
        <v>1663</v>
      </c>
    </row>
    <row r="668" spans="1:6">
      <c r="A668" t="s">
        <v>1399</v>
      </c>
      <c r="B668" t="s">
        <v>1666</v>
      </c>
      <c r="C668" s="2">
        <v>44770</v>
      </c>
      <c r="D668">
        <v>413</v>
      </c>
      <c r="E668">
        <v>200.25</v>
      </c>
      <c r="F668" t="s">
        <v>1665</v>
      </c>
    </row>
    <row r="669" spans="1:6">
      <c r="A669" t="s">
        <v>1401</v>
      </c>
      <c r="B669" t="s">
        <v>1660</v>
      </c>
      <c r="C669" s="2">
        <v>44764</v>
      </c>
      <c r="D669">
        <v>471</v>
      </c>
      <c r="E669">
        <v>313.19</v>
      </c>
      <c r="F669" t="s">
        <v>1667</v>
      </c>
    </row>
    <row r="670" spans="1:6">
      <c r="A670" t="s">
        <v>1403</v>
      </c>
      <c r="B670" t="s">
        <v>1662</v>
      </c>
      <c r="C670" s="2">
        <v>44776</v>
      </c>
      <c r="D670">
        <v>550</v>
      </c>
      <c r="E670">
        <v>124.68</v>
      </c>
      <c r="F670" t="s">
        <v>1661</v>
      </c>
    </row>
    <row r="671" spans="1:6">
      <c r="A671" t="s">
        <v>1405</v>
      </c>
      <c r="B671" t="s">
        <v>1664</v>
      </c>
      <c r="C671" s="2">
        <v>44771</v>
      </c>
      <c r="D671">
        <v>747</v>
      </c>
      <c r="E671">
        <v>288.3</v>
      </c>
      <c r="F671" t="s">
        <v>1663</v>
      </c>
    </row>
    <row r="672" spans="1:6">
      <c r="A672" t="s">
        <v>1407</v>
      </c>
      <c r="B672" t="s">
        <v>1666</v>
      </c>
      <c r="C672" s="2">
        <v>44794</v>
      </c>
      <c r="D672">
        <v>552</v>
      </c>
      <c r="E672">
        <v>12.77</v>
      </c>
      <c r="F672" t="s">
        <v>1665</v>
      </c>
    </row>
    <row r="673" spans="1:6">
      <c r="A673" t="s">
        <v>1409</v>
      </c>
      <c r="B673" t="s">
        <v>1668</v>
      </c>
      <c r="C673" s="2">
        <v>44792</v>
      </c>
      <c r="D673">
        <v>441</v>
      </c>
      <c r="E673">
        <v>181.06</v>
      </c>
      <c r="F673" t="s">
        <v>1667</v>
      </c>
    </row>
    <row r="674" spans="1:6">
      <c r="A674" t="s">
        <v>1411</v>
      </c>
      <c r="B674" t="s">
        <v>1660</v>
      </c>
      <c r="C674" s="2">
        <v>44792</v>
      </c>
      <c r="D674">
        <v>311</v>
      </c>
      <c r="E674">
        <v>89.16</v>
      </c>
      <c r="F674" t="s">
        <v>1661</v>
      </c>
    </row>
    <row r="675" spans="1:6">
      <c r="A675" t="s">
        <v>1413</v>
      </c>
      <c r="B675" t="s">
        <v>1662</v>
      </c>
      <c r="C675" s="2">
        <v>44790</v>
      </c>
      <c r="D675">
        <v>830</v>
      </c>
      <c r="E675">
        <v>633.32000000000005</v>
      </c>
      <c r="F675" t="s">
        <v>1663</v>
      </c>
    </row>
    <row r="676" spans="1:6">
      <c r="A676" t="s">
        <v>1415</v>
      </c>
      <c r="B676" t="s">
        <v>1664</v>
      </c>
      <c r="C676" s="2">
        <v>44809</v>
      </c>
      <c r="D676">
        <v>258</v>
      </c>
      <c r="E676">
        <v>176.7</v>
      </c>
      <c r="F676" t="s">
        <v>1665</v>
      </c>
    </row>
    <row r="677" spans="1:6">
      <c r="A677" t="s">
        <v>1417</v>
      </c>
      <c r="B677" t="s">
        <v>1666</v>
      </c>
      <c r="C677" s="2">
        <v>44772</v>
      </c>
      <c r="D677">
        <v>430</v>
      </c>
      <c r="E677">
        <v>371.16</v>
      </c>
      <c r="F677" t="s">
        <v>1667</v>
      </c>
    </row>
    <row r="678" spans="1:6">
      <c r="A678" t="s">
        <v>1419</v>
      </c>
      <c r="B678" t="s">
        <v>1660</v>
      </c>
      <c r="C678" s="2">
        <v>44802</v>
      </c>
      <c r="D678">
        <v>788</v>
      </c>
      <c r="E678">
        <v>35.58</v>
      </c>
      <c r="F678" t="s">
        <v>1661</v>
      </c>
    </row>
    <row r="679" spans="1:6">
      <c r="A679" t="s">
        <v>1421</v>
      </c>
      <c r="B679" t="s">
        <v>1662</v>
      </c>
      <c r="C679" s="2">
        <v>44809</v>
      </c>
      <c r="D679">
        <v>605</v>
      </c>
      <c r="E679">
        <v>14.12</v>
      </c>
      <c r="F679" t="s">
        <v>1663</v>
      </c>
    </row>
    <row r="680" spans="1:6">
      <c r="A680" t="s">
        <v>1423</v>
      </c>
      <c r="B680" t="s">
        <v>1664</v>
      </c>
      <c r="C680" s="2">
        <v>44793</v>
      </c>
      <c r="D680">
        <v>321</v>
      </c>
      <c r="E680">
        <v>51.3</v>
      </c>
      <c r="F680" t="s">
        <v>1665</v>
      </c>
    </row>
    <row r="681" spans="1:6">
      <c r="A681" t="s">
        <v>1425</v>
      </c>
      <c r="B681" t="s">
        <v>1666</v>
      </c>
      <c r="C681" s="2">
        <v>44802</v>
      </c>
      <c r="D681">
        <v>579</v>
      </c>
      <c r="E681">
        <v>260.45999999999998</v>
      </c>
      <c r="F681" t="s">
        <v>1667</v>
      </c>
    </row>
    <row r="682" spans="1:6">
      <c r="A682" t="s">
        <v>1427</v>
      </c>
      <c r="B682" t="s">
        <v>1668</v>
      </c>
      <c r="C682" s="2">
        <v>44766</v>
      </c>
      <c r="D682">
        <v>677</v>
      </c>
      <c r="E682">
        <v>411.41</v>
      </c>
      <c r="F682" t="s">
        <v>1661</v>
      </c>
    </row>
    <row r="683" spans="1:6">
      <c r="A683" t="s">
        <v>1429</v>
      </c>
      <c r="B683" t="s">
        <v>1669</v>
      </c>
      <c r="C683" s="2">
        <v>44807</v>
      </c>
      <c r="D683">
        <v>686</v>
      </c>
      <c r="E683">
        <v>98.77</v>
      </c>
      <c r="F683" t="s">
        <v>1663</v>
      </c>
    </row>
    <row r="684" spans="1:6">
      <c r="A684" t="s">
        <v>1431</v>
      </c>
      <c r="B684" t="s">
        <v>1660</v>
      </c>
      <c r="C684" s="2">
        <v>44784</v>
      </c>
      <c r="D684">
        <v>875</v>
      </c>
      <c r="E684">
        <v>116.58</v>
      </c>
      <c r="F684" t="s">
        <v>1665</v>
      </c>
    </row>
    <row r="685" spans="1:6">
      <c r="A685" t="s">
        <v>1433</v>
      </c>
      <c r="B685" t="s">
        <v>1662</v>
      </c>
      <c r="C685" s="2">
        <v>44763</v>
      </c>
      <c r="D685">
        <v>693</v>
      </c>
      <c r="E685">
        <v>328.81</v>
      </c>
      <c r="F685" t="s">
        <v>1667</v>
      </c>
    </row>
    <row r="686" spans="1:6">
      <c r="A686" t="s">
        <v>1435</v>
      </c>
      <c r="B686" t="s">
        <v>1664</v>
      </c>
      <c r="C686" s="2">
        <v>44799</v>
      </c>
      <c r="D686">
        <v>820</v>
      </c>
      <c r="E686">
        <v>208.36</v>
      </c>
      <c r="F686" t="s">
        <v>1661</v>
      </c>
    </row>
    <row r="687" spans="1:6">
      <c r="A687" t="s">
        <v>1437</v>
      </c>
      <c r="B687" t="s">
        <v>1666</v>
      </c>
      <c r="C687" s="2">
        <v>44808</v>
      </c>
      <c r="D687">
        <v>314</v>
      </c>
      <c r="E687">
        <v>200.93</v>
      </c>
      <c r="F687" t="s">
        <v>1663</v>
      </c>
    </row>
    <row r="688" spans="1:6">
      <c r="A688" t="s">
        <v>1439</v>
      </c>
      <c r="B688" t="s">
        <v>1660</v>
      </c>
      <c r="C688" s="2">
        <v>44786</v>
      </c>
      <c r="D688">
        <v>275</v>
      </c>
      <c r="E688">
        <v>126.82</v>
      </c>
      <c r="F688" t="s">
        <v>1665</v>
      </c>
    </row>
    <row r="689" spans="1:6">
      <c r="A689" t="s">
        <v>1441</v>
      </c>
      <c r="B689" t="s">
        <v>1662</v>
      </c>
      <c r="C689" s="2">
        <v>44770</v>
      </c>
      <c r="D689">
        <v>686</v>
      </c>
      <c r="E689">
        <v>249.3</v>
      </c>
      <c r="F689" t="s">
        <v>1667</v>
      </c>
    </row>
    <row r="690" spans="1:6">
      <c r="A690" t="s">
        <v>1443</v>
      </c>
      <c r="B690" t="s">
        <v>1664</v>
      </c>
      <c r="C690" s="2">
        <v>44777</v>
      </c>
      <c r="D690">
        <v>267</v>
      </c>
      <c r="E690">
        <v>3.36</v>
      </c>
      <c r="F690" t="s">
        <v>1661</v>
      </c>
    </row>
    <row r="691" spans="1:6">
      <c r="A691" t="s">
        <v>1445</v>
      </c>
      <c r="B691" t="s">
        <v>1666</v>
      </c>
      <c r="C691" s="2">
        <v>44780</v>
      </c>
      <c r="D691">
        <v>642</v>
      </c>
      <c r="E691">
        <v>315.8</v>
      </c>
      <c r="F691" t="s">
        <v>1663</v>
      </c>
    </row>
    <row r="692" spans="1:6">
      <c r="A692" t="s">
        <v>1447</v>
      </c>
      <c r="B692" t="s">
        <v>1660</v>
      </c>
      <c r="C692" s="2">
        <v>44778</v>
      </c>
      <c r="D692">
        <v>464</v>
      </c>
      <c r="E692">
        <v>157.24</v>
      </c>
      <c r="F692" t="s">
        <v>1665</v>
      </c>
    </row>
    <row r="693" spans="1:6">
      <c r="A693" t="s">
        <v>1449</v>
      </c>
      <c r="B693" t="s">
        <v>1662</v>
      </c>
      <c r="C693" s="2">
        <v>44774</v>
      </c>
      <c r="D693">
        <v>751</v>
      </c>
      <c r="E693">
        <v>740.55</v>
      </c>
      <c r="F693" t="s">
        <v>1667</v>
      </c>
    </row>
    <row r="694" spans="1:6">
      <c r="A694" t="s">
        <v>1451</v>
      </c>
      <c r="B694" t="s">
        <v>1664</v>
      </c>
      <c r="C694" s="2">
        <v>44760</v>
      </c>
      <c r="D694">
        <v>215</v>
      </c>
      <c r="E694">
        <v>184.83</v>
      </c>
      <c r="F694" t="s">
        <v>1661</v>
      </c>
    </row>
    <row r="695" spans="1:6">
      <c r="A695" t="s">
        <v>1453</v>
      </c>
      <c r="B695" t="s">
        <v>1666</v>
      </c>
      <c r="C695" s="2">
        <v>44756</v>
      </c>
      <c r="D695">
        <v>577</v>
      </c>
      <c r="E695">
        <v>493.09</v>
      </c>
      <c r="F695" t="s">
        <v>1663</v>
      </c>
    </row>
    <row r="696" spans="1:6">
      <c r="A696" t="s">
        <v>1455</v>
      </c>
      <c r="B696" t="s">
        <v>1660</v>
      </c>
      <c r="C696" s="2">
        <v>44755</v>
      </c>
      <c r="D696">
        <v>643</v>
      </c>
      <c r="E696">
        <v>176.77</v>
      </c>
      <c r="F696" t="s">
        <v>1665</v>
      </c>
    </row>
    <row r="697" spans="1:6">
      <c r="A697" t="s">
        <v>1457</v>
      </c>
      <c r="B697" t="s">
        <v>1662</v>
      </c>
      <c r="C697" s="2">
        <v>44770</v>
      </c>
      <c r="D697">
        <v>627</v>
      </c>
      <c r="E697">
        <v>468.83</v>
      </c>
      <c r="F697" t="s">
        <v>1667</v>
      </c>
    </row>
    <row r="698" spans="1:6">
      <c r="A698" t="s">
        <v>1459</v>
      </c>
      <c r="B698" t="s">
        <v>1664</v>
      </c>
      <c r="C698" s="2">
        <v>44755</v>
      </c>
      <c r="D698">
        <v>677</v>
      </c>
      <c r="E698">
        <v>251.57</v>
      </c>
      <c r="F698" t="s">
        <v>1661</v>
      </c>
    </row>
    <row r="699" spans="1:6">
      <c r="A699" t="s">
        <v>1461</v>
      </c>
      <c r="B699" t="s">
        <v>1666</v>
      </c>
      <c r="C699" s="2">
        <v>44775</v>
      </c>
      <c r="D699">
        <v>461</v>
      </c>
      <c r="E699">
        <v>310.89999999999998</v>
      </c>
      <c r="F699" t="s">
        <v>1663</v>
      </c>
    </row>
    <row r="700" spans="1:6">
      <c r="A700" t="s">
        <v>1463</v>
      </c>
      <c r="B700" t="s">
        <v>1668</v>
      </c>
      <c r="C700" s="2">
        <v>44797</v>
      </c>
      <c r="D700">
        <v>524</v>
      </c>
      <c r="E700">
        <v>88.9</v>
      </c>
      <c r="F700" t="s">
        <v>1665</v>
      </c>
    </row>
    <row r="701" spans="1:6">
      <c r="A701" t="s">
        <v>1465</v>
      </c>
      <c r="B701" t="s">
        <v>1660</v>
      </c>
      <c r="C701" s="2">
        <v>44802</v>
      </c>
      <c r="D701">
        <v>862</v>
      </c>
      <c r="E701">
        <v>761.42</v>
      </c>
      <c r="F701" t="s">
        <v>1667</v>
      </c>
    </row>
    <row r="702" spans="1:6">
      <c r="A702" t="s">
        <v>1467</v>
      </c>
      <c r="B702" t="s">
        <v>1662</v>
      </c>
      <c r="C702" s="2">
        <v>44764</v>
      </c>
      <c r="D702">
        <v>508</v>
      </c>
      <c r="E702">
        <v>141.58000000000001</v>
      </c>
      <c r="F702" t="s">
        <v>1661</v>
      </c>
    </row>
    <row r="703" spans="1:6">
      <c r="A703" t="s">
        <v>1469</v>
      </c>
      <c r="B703" t="s">
        <v>1664</v>
      </c>
      <c r="C703" s="2">
        <v>44780</v>
      </c>
      <c r="D703">
        <v>208</v>
      </c>
      <c r="E703">
        <v>89.1</v>
      </c>
      <c r="F703" t="s">
        <v>1663</v>
      </c>
    </row>
    <row r="704" spans="1:6">
      <c r="A704" t="s">
        <v>1471</v>
      </c>
      <c r="B704" t="s">
        <v>1666</v>
      </c>
      <c r="C704" s="2">
        <v>44799</v>
      </c>
      <c r="D704">
        <v>356</v>
      </c>
      <c r="E704">
        <v>199.64</v>
      </c>
      <c r="F704" t="s">
        <v>1665</v>
      </c>
    </row>
    <row r="705" spans="1:6">
      <c r="A705" t="s">
        <v>1473</v>
      </c>
      <c r="B705" t="s">
        <v>1660</v>
      </c>
      <c r="C705" s="2">
        <v>44761</v>
      </c>
      <c r="D705">
        <v>853</v>
      </c>
      <c r="E705">
        <v>335.96</v>
      </c>
      <c r="F705" t="s">
        <v>1667</v>
      </c>
    </row>
    <row r="706" spans="1:6">
      <c r="A706" t="s">
        <v>1475</v>
      </c>
      <c r="B706" t="s">
        <v>1662</v>
      </c>
      <c r="C706" s="2">
        <v>44782</v>
      </c>
      <c r="D706">
        <v>871</v>
      </c>
      <c r="E706">
        <v>127.28</v>
      </c>
      <c r="F706" t="s">
        <v>1661</v>
      </c>
    </row>
    <row r="707" spans="1:6">
      <c r="A707" t="s">
        <v>1477</v>
      </c>
      <c r="B707" t="s">
        <v>1664</v>
      </c>
      <c r="C707" s="2">
        <v>44806</v>
      </c>
      <c r="D707">
        <v>320</v>
      </c>
      <c r="E707">
        <v>192.14</v>
      </c>
      <c r="F707" t="s">
        <v>1663</v>
      </c>
    </row>
    <row r="708" spans="1:6">
      <c r="A708" t="s">
        <v>1479</v>
      </c>
      <c r="B708" t="s">
        <v>1666</v>
      </c>
      <c r="C708" s="2">
        <v>44798</v>
      </c>
      <c r="D708">
        <v>345</v>
      </c>
      <c r="E708">
        <v>326.02999999999997</v>
      </c>
      <c r="F708" t="s">
        <v>1665</v>
      </c>
    </row>
    <row r="709" spans="1:6">
      <c r="A709" t="s">
        <v>1481</v>
      </c>
      <c r="B709" t="s">
        <v>1668</v>
      </c>
      <c r="C709" s="2">
        <v>44758</v>
      </c>
      <c r="D709">
        <v>372</v>
      </c>
      <c r="E709">
        <v>275.33999999999997</v>
      </c>
      <c r="F709" t="s">
        <v>1667</v>
      </c>
    </row>
    <row r="710" spans="1:6">
      <c r="A710" t="s">
        <v>1483</v>
      </c>
      <c r="B710" t="s">
        <v>1669</v>
      </c>
      <c r="C710" s="2">
        <v>44785</v>
      </c>
      <c r="D710">
        <v>330</v>
      </c>
      <c r="E710">
        <v>289.02</v>
      </c>
      <c r="F710" t="s">
        <v>1661</v>
      </c>
    </row>
    <row r="711" spans="1:6">
      <c r="A711" t="s">
        <v>1485</v>
      </c>
      <c r="B711" t="s">
        <v>1660</v>
      </c>
      <c r="C711" s="2">
        <v>44761</v>
      </c>
      <c r="D711">
        <v>555</v>
      </c>
      <c r="E711">
        <v>40.93</v>
      </c>
      <c r="F711" t="s">
        <v>1663</v>
      </c>
    </row>
    <row r="712" spans="1:6">
      <c r="A712" t="s">
        <v>1487</v>
      </c>
      <c r="B712" t="s">
        <v>1662</v>
      </c>
      <c r="C712" s="2">
        <v>44800</v>
      </c>
      <c r="D712">
        <v>397</v>
      </c>
      <c r="E712">
        <v>273.77</v>
      </c>
      <c r="F712" t="s">
        <v>1665</v>
      </c>
    </row>
    <row r="713" spans="1:6">
      <c r="A713" t="s">
        <v>1489</v>
      </c>
      <c r="B713" t="s">
        <v>1664</v>
      </c>
      <c r="C713" s="2">
        <v>44807</v>
      </c>
      <c r="D713">
        <v>405</v>
      </c>
      <c r="E713">
        <v>131.34</v>
      </c>
      <c r="F713" t="s">
        <v>1667</v>
      </c>
    </row>
    <row r="714" spans="1:6">
      <c r="A714" t="s">
        <v>1491</v>
      </c>
      <c r="B714" t="s">
        <v>1666</v>
      </c>
      <c r="C714" s="2">
        <v>44799</v>
      </c>
      <c r="D714">
        <v>724</v>
      </c>
      <c r="E714">
        <v>230.53</v>
      </c>
      <c r="F714" t="s">
        <v>1661</v>
      </c>
    </row>
    <row r="715" spans="1:6">
      <c r="A715" t="s">
        <v>1493</v>
      </c>
      <c r="B715" t="s">
        <v>1660</v>
      </c>
      <c r="C715" s="2">
        <v>44759</v>
      </c>
      <c r="D715">
        <v>285</v>
      </c>
      <c r="E715">
        <v>265.02</v>
      </c>
      <c r="F715" t="s">
        <v>1663</v>
      </c>
    </row>
    <row r="716" spans="1:6">
      <c r="A716" t="s">
        <v>1495</v>
      </c>
      <c r="B716" t="s">
        <v>1662</v>
      </c>
      <c r="C716" s="2">
        <v>44763</v>
      </c>
      <c r="D716">
        <v>275</v>
      </c>
      <c r="E716">
        <v>210.06</v>
      </c>
      <c r="F716" t="s">
        <v>1665</v>
      </c>
    </row>
    <row r="717" spans="1:6">
      <c r="A717" t="s">
        <v>1497</v>
      </c>
      <c r="B717" t="s">
        <v>1664</v>
      </c>
      <c r="C717" s="2">
        <v>44776</v>
      </c>
      <c r="D717">
        <v>870</v>
      </c>
      <c r="E717">
        <v>571.76</v>
      </c>
      <c r="F717" t="s">
        <v>1667</v>
      </c>
    </row>
    <row r="718" spans="1:6">
      <c r="A718" t="s">
        <v>1499</v>
      </c>
      <c r="B718" t="s">
        <v>1666</v>
      </c>
      <c r="C718" s="2">
        <v>44763</v>
      </c>
      <c r="D718">
        <v>603</v>
      </c>
      <c r="E718">
        <v>21.82</v>
      </c>
      <c r="F718" t="s">
        <v>1661</v>
      </c>
    </row>
    <row r="719" spans="1:6">
      <c r="A719" t="s">
        <v>1501</v>
      </c>
      <c r="B719" t="s">
        <v>1668</v>
      </c>
      <c r="C719" s="2">
        <v>44803</v>
      </c>
      <c r="D719">
        <v>431</v>
      </c>
      <c r="E719">
        <v>303.85000000000002</v>
      </c>
      <c r="F719" t="s">
        <v>1663</v>
      </c>
    </row>
    <row r="720" spans="1:6">
      <c r="A720" t="s">
        <v>1503</v>
      </c>
      <c r="B720" t="s">
        <v>1660</v>
      </c>
      <c r="C720" s="2">
        <v>44806</v>
      </c>
      <c r="D720">
        <v>311</v>
      </c>
      <c r="E720">
        <v>147.38999999999999</v>
      </c>
      <c r="F720" t="s">
        <v>1665</v>
      </c>
    </row>
    <row r="721" spans="1:6">
      <c r="A721" t="s">
        <v>1505</v>
      </c>
      <c r="B721" t="s">
        <v>1662</v>
      </c>
      <c r="C721" s="2">
        <v>44774</v>
      </c>
      <c r="D721">
        <v>743</v>
      </c>
      <c r="E721">
        <v>260.75</v>
      </c>
      <c r="F721" t="s">
        <v>1667</v>
      </c>
    </row>
    <row r="722" spans="1:6">
      <c r="A722" t="s">
        <v>1507</v>
      </c>
      <c r="B722" t="s">
        <v>1664</v>
      </c>
      <c r="C722" s="2">
        <v>44769</v>
      </c>
      <c r="D722">
        <v>507</v>
      </c>
      <c r="E722">
        <v>164.7</v>
      </c>
      <c r="F722" t="s">
        <v>1661</v>
      </c>
    </row>
    <row r="723" spans="1:6">
      <c r="A723" t="s">
        <v>1509</v>
      </c>
      <c r="B723" t="s">
        <v>1666</v>
      </c>
      <c r="C723" s="2">
        <v>44793</v>
      </c>
      <c r="D723">
        <v>592</v>
      </c>
      <c r="E723">
        <v>44.88</v>
      </c>
      <c r="F723" t="s">
        <v>1663</v>
      </c>
    </row>
    <row r="724" spans="1:6">
      <c r="A724" t="s">
        <v>1511</v>
      </c>
      <c r="B724" t="s">
        <v>1660</v>
      </c>
      <c r="C724" s="2">
        <v>44768</v>
      </c>
      <c r="D724">
        <v>288</v>
      </c>
      <c r="E724">
        <v>201.94</v>
      </c>
      <c r="F724" t="s">
        <v>1665</v>
      </c>
    </row>
    <row r="725" spans="1:6">
      <c r="A725" t="s">
        <v>1513</v>
      </c>
      <c r="B725" t="s">
        <v>1662</v>
      </c>
      <c r="C725" s="2">
        <v>44803</v>
      </c>
      <c r="D725">
        <v>434</v>
      </c>
      <c r="E725">
        <v>122.89</v>
      </c>
      <c r="F725" t="s">
        <v>1667</v>
      </c>
    </row>
    <row r="726" spans="1:6">
      <c r="A726" t="s">
        <v>1515</v>
      </c>
      <c r="B726" t="s">
        <v>1664</v>
      </c>
      <c r="C726" s="2">
        <v>44755</v>
      </c>
      <c r="D726">
        <v>538</v>
      </c>
      <c r="E726">
        <v>164.46</v>
      </c>
      <c r="F726" t="s">
        <v>1661</v>
      </c>
    </row>
    <row r="727" spans="1:6">
      <c r="A727" t="s">
        <v>1517</v>
      </c>
      <c r="B727" t="s">
        <v>1666</v>
      </c>
      <c r="C727" s="2">
        <v>44789</v>
      </c>
      <c r="D727">
        <v>356</v>
      </c>
      <c r="E727">
        <v>72.45</v>
      </c>
      <c r="F727" t="s">
        <v>1663</v>
      </c>
    </row>
    <row r="728" spans="1:6">
      <c r="A728" t="s">
        <v>1519</v>
      </c>
      <c r="B728" t="s">
        <v>1668</v>
      </c>
      <c r="C728" s="2">
        <v>44785</v>
      </c>
      <c r="D728">
        <v>666</v>
      </c>
      <c r="E728">
        <v>616.83000000000004</v>
      </c>
      <c r="F728" t="s">
        <v>1665</v>
      </c>
    </row>
    <row r="729" spans="1:6">
      <c r="A729" t="s">
        <v>1521</v>
      </c>
      <c r="B729" t="s">
        <v>1669</v>
      </c>
      <c r="C729" s="2">
        <v>44775</v>
      </c>
      <c r="D729">
        <v>409</v>
      </c>
      <c r="E729">
        <v>399.59</v>
      </c>
      <c r="F729" t="s">
        <v>1667</v>
      </c>
    </row>
    <row r="730" spans="1:6">
      <c r="A730" t="s">
        <v>1523</v>
      </c>
      <c r="B730" t="s">
        <v>1660</v>
      </c>
      <c r="C730" s="2">
        <v>44807</v>
      </c>
      <c r="D730">
        <v>328</v>
      </c>
      <c r="E730">
        <v>46.41</v>
      </c>
      <c r="F730" t="s">
        <v>1661</v>
      </c>
    </row>
    <row r="731" spans="1:6">
      <c r="A731" t="s">
        <v>1525</v>
      </c>
      <c r="B731" t="s">
        <v>1662</v>
      </c>
      <c r="C731" s="2">
        <v>44765</v>
      </c>
      <c r="D731">
        <v>666</v>
      </c>
      <c r="E731">
        <v>408.55</v>
      </c>
      <c r="F731" t="s">
        <v>1663</v>
      </c>
    </row>
    <row r="732" spans="1:6">
      <c r="A732" t="s">
        <v>1527</v>
      </c>
      <c r="B732" t="s">
        <v>1664</v>
      </c>
      <c r="C732" s="2">
        <v>44791</v>
      </c>
      <c r="D732">
        <v>713</v>
      </c>
      <c r="E732">
        <v>15.42</v>
      </c>
      <c r="F732" t="s">
        <v>1665</v>
      </c>
    </row>
    <row r="733" spans="1:6">
      <c r="A733" t="s">
        <v>1529</v>
      </c>
      <c r="B733" t="s">
        <v>1666</v>
      </c>
      <c r="C733" s="2">
        <v>44777</v>
      </c>
      <c r="D733">
        <v>236</v>
      </c>
      <c r="E733">
        <v>185.34</v>
      </c>
      <c r="F733" t="s">
        <v>1667</v>
      </c>
    </row>
    <row r="734" spans="1:6">
      <c r="A734" t="s">
        <v>1531</v>
      </c>
      <c r="B734" t="s">
        <v>1660</v>
      </c>
      <c r="C734" s="2">
        <v>44806</v>
      </c>
      <c r="D734">
        <v>601</v>
      </c>
      <c r="E734">
        <v>67.28</v>
      </c>
      <c r="F734" t="s">
        <v>1661</v>
      </c>
    </row>
    <row r="735" spans="1:6">
      <c r="A735" t="s">
        <v>1533</v>
      </c>
      <c r="B735" t="s">
        <v>1662</v>
      </c>
      <c r="C735" s="2">
        <v>44796</v>
      </c>
      <c r="D735">
        <v>791</v>
      </c>
      <c r="E735">
        <v>652.07000000000005</v>
      </c>
      <c r="F735" t="s">
        <v>1663</v>
      </c>
    </row>
    <row r="736" spans="1:6">
      <c r="A736" t="s">
        <v>1535</v>
      </c>
      <c r="B736" t="s">
        <v>1664</v>
      </c>
      <c r="C736" s="2">
        <v>44760</v>
      </c>
      <c r="D736">
        <v>657</v>
      </c>
      <c r="E736">
        <v>53.94</v>
      </c>
      <c r="F736" t="s">
        <v>1665</v>
      </c>
    </row>
    <row r="737" spans="1:6">
      <c r="A737" t="s">
        <v>1537</v>
      </c>
      <c r="B737" t="s">
        <v>1666</v>
      </c>
      <c r="C737" s="2">
        <v>44759</v>
      </c>
      <c r="D737">
        <v>383</v>
      </c>
      <c r="E737">
        <v>70.489999999999995</v>
      </c>
      <c r="F737" t="s">
        <v>1667</v>
      </c>
    </row>
    <row r="738" spans="1:6">
      <c r="A738" t="s">
        <v>1539</v>
      </c>
      <c r="B738" t="s">
        <v>1660</v>
      </c>
      <c r="C738" s="2">
        <v>44795</v>
      </c>
      <c r="D738">
        <v>458</v>
      </c>
      <c r="E738">
        <v>194.15</v>
      </c>
      <c r="F738" t="s">
        <v>1661</v>
      </c>
    </row>
    <row r="739" spans="1:6">
      <c r="A739" t="s">
        <v>1541</v>
      </c>
      <c r="B739" t="s">
        <v>1662</v>
      </c>
      <c r="C739" s="2">
        <v>44808</v>
      </c>
      <c r="D739">
        <v>212</v>
      </c>
      <c r="E739">
        <v>9.18</v>
      </c>
      <c r="F739" t="s">
        <v>1663</v>
      </c>
    </row>
    <row r="740" spans="1:6">
      <c r="A740" t="s">
        <v>1543</v>
      </c>
      <c r="B740" t="s">
        <v>1664</v>
      </c>
      <c r="C740" s="2">
        <v>44756</v>
      </c>
      <c r="D740">
        <v>897</v>
      </c>
      <c r="E740">
        <v>643.14</v>
      </c>
      <c r="F740" t="s">
        <v>1665</v>
      </c>
    </row>
    <row r="741" spans="1:6">
      <c r="A741" t="s">
        <v>1545</v>
      </c>
      <c r="B741" t="s">
        <v>1666</v>
      </c>
      <c r="C741" s="2">
        <v>44801</v>
      </c>
      <c r="D741">
        <v>341</v>
      </c>
      <c r="E741">
        <v>101.25</v>
      </c>
      <c r="F741" t="s">
        <v>1667</v>
      </c>
    </row>
    <row r="742" spans="1:6">
      <c r="A742" t="s">
        <v>1547</v>
      </c>
      <c r="B742" t="s">
        <v>1660</v>
      </c>
      <c r="C742" s="2">
        <v>44806</v>
      </c>
      <c r="D742">
        <v>789</v>
      </c>
      <c r="E742">
        <v>217.33</v>
      </c>
      <c r="F742" t="s">
        <v>1661</v>
      </c>
    </row>
    <row r="743" spans="1:6">
      <c r="A743" t="s">
        <v>1549</v>
      </c>
      <c r="B743" t="s">
        <v>1662</v>
      </c>
      <c r="C743" s="2">
        <v>44794</v>
      </c>
      <c r="D743">
        <v>250</v>
      </c>
      <c r="E743">
        <v>158.38999999999999</v>
      </c>
      <c r="F743" t="s">
        <v>1663</v>
      </c>
    </row>
    <row r="744" spans="1:6">
      <c r="A744" t="s">
        <v>1551</v>
      </c>
      <c r="B744" t="s">
        <v>1664</v>
      </c>
      <c r="C744" s="2">
        <v>44800</v>
      </c>
      <c r="D744">
        <v>470</v>
      </c>
      <c r="E744">
        <v>335.3</v>
      </c>
      <c r="F744" t="s">
        <v>1665</v>
      </c>
    </row>
    <row r="745" spans="1:6">
      <c r="A745" t="s">
        <v>1553</v>
      </c>
      <c r="B745" t="s">
        <v>1666</v>
      </c>
      <c r="C745" s="2">
        <v>44789</v>
      </c>
      <c r="D745">
        <v>775</v>
      </c>
      <c r="E745">
        <v>516.29</v>
      </c>
      <c r="F745" t="s">
        <v>1667</v>
      </c>
    </row>
    <row r="746" spans="1:6">
      <c r="A746" t="s">
        <v>1555</v>
      </c>
      <c r="B746" t="s">
        <v>1668</v>
      </c>
      <c r="C746" s="2">
        <v>44802</v>
      </c>
      <c r="D746">
        <v>741</v>
      </c>
      <c r="E746">
        <v>464.24</v>
      </c>
      <c r="F746" t="s">
        <v>1661</v>
      </c>
    </row>
    <row r="747" spans="1:6">
      <c r="A747" t="s">
        <v>1557</v>
      </c>
      <c r="B747" t="s">
        <v>1660</v>
      </c>
      <c r="C747" s="2">
        <v>44793</v>
      </c>
      <c r="D747">
        <v>479</v>
      </c>
      <c r="E747">
        <v>326.75</v>
      </c>
      <c r="F747" t="s">
        <v>1663</v>
      </c>
    </row>
    <row r="748" spans="1:6">
      <c r="A748" t="s">
        <v>1559</v>
      </c>
      <c r="B748" t="s">
        <v>1662</v>
      </c>
      <c r="C748" s="2">
        <v>44793</v>
      </c>
      <c r="D748">
        <v>459</v>
      </c>
      <c r="E748">
        <v>17.66</v>
      </c>
      <c r="F748" t="s">
        <v>1665</v>
      </c>
    </row>
    <row r="749" spans="1:6">
      <c r="A749" t="s">
        <v>1561</v>
      </c>
      <c r="B749" t="s">
        <v>1664</v>
      </c>
      <c r="C749" s="2">
        <v>44785</v>
      </c>
      <c r="D749">
        <v>303</v>
      </c>
      <c r="E749">
        <v>125.46</v>
      </c>
      <c r="F749" t="s">
        <v>1667</v>
      </c>
    </row>
    <row r="750" spans="1:6">
      <c r="A750" t="s">
        <v>1563</v>
      </c>
      <c r="B750" t="s">
        <v>1666</v>
      </c>
      <c r="C750" s="2">
        <v>44778</v>
      </c>
      <c r="D750">
        <v>586</v>
      </c>
      <c r="E750">
        <v>171.23</v>
      </c>
      <c r="F750" t="s">
        <v>1661</v>
      </c>
    </row>
    <row r="751" spans="1:6">
      <c r="A751" t="s">
        <v>1565</v>
      </c>
      <c r="B751" t="s">
        <v>1660</v>
      </c>
      <c r="C751" s="2">
        <v>44764</v>
      </c>
      <c r="D751">
        <v>771</v>
      </c>
      <c r="E751">
        <v>307.45</v>
      </c>
      <c r="F751" t="s">
        <v>1663</v>
      </c>
    </row>
    <row r="752" spans="1:6">
      <c r="A752" t="s">
        <v>1567</v>
      </c>
      <c r="B752" t="s">
        <v>1662</v>
      </c>
      <c r="C752" s="2">
        <v>44769</v>
      </c>
      <c r="D752">
        <v>711</v>
      </c>
      <c r="E752">
        <v>535.02</v>
      </c>
      <c r="F752" t="s">
        <v>1665</v>
      </c>
    </row>
    <row r="753" spans="1:6">
      <c r="A753" t="s">
        <v>1569</v>
      </c>
      <c r="B753" t="s">
        <v>1664</v>
      </c>
      <c r="C753" s="2">
        <v>44794</v>
      </c>
      <c r="D753">
        <v>557</v>
      </c>
      <c r="E753">
        <v>0.4</v>
      </c>
      <c r="F753" t="s">
        <v>1667</v>
      </c>
    </row>
    <row r="754" spans="1:6">
      <c r="A754" t="s">
        <v>1571</v>
      </c>
      <c r="B754" t="s">
        <v>1666</v>
      </c>
      <c r="C754" s="2">
        <v>44766</v>
      </c>
      <c r="D754">
        <v>823</v>
      </c>
      <c r="E754">
        <v>817.01</v>
      </c>
      <c r="F754" t="s">
        <v>1661</v>
      </c>
    </row>
    <row r="755" spans="1:6">
      <c r="A755" t="s">
        <v>1573</v>
      </c>
      <c r="B755" t="s">
        <v>1668</v>
      </c>
      <c r="C755" s="2">
        <v>44772</v>
      </c>
      <c r="D755">
        <v>553</v>
      </c>
      <c r="E755">
        <v>119.82</v>
      </c>
      <c r="F755" t="s">
        <v>1663</v>
      </c>
    </row>
    <row r="756" spans="1:6">
      <c r="A756" t="s">
        <v>1575</v>
      </c>
      <c r="B756" t="s">
        <v>1669</v>
      </c>
      <c r="C756" s="2">
        <v>44787</v>
      </c>
      <c r="D756">
        <v>756</v>
      </c>
      <c r="E756">
        <v>754.06</v>
      </c>
      <c r="F756" t="s">
        <v>1665</v>
      </c>
    </row>
    <row r="757" spans="1:6">
      <c r="A757" t="s">
        <v>1577</v>
      </c>
      <c r="B757" t="s">
        <v>1660</v>
      </c>
      <c r="C757" s="2">
        <v>44755</v>
      </c>
      <c r="D757">
        <v>325</v>
      </c>
      <c r="E757">
        <v>167.51</v>
      </c>
      <c r="F757" t="s">
        <v>1667</v>
      </c>
    </row>
    <row r="758" spans="1:6">
      <c r="A758" t="s">
        <v>1579</v>
      </c>
      <c r="B758" t="s">
        <v>1662</v>
      </c>
      <c r="C758" s="2">
        <v>44785</v>
      </c>
      <c r="D758">
        <v>769</v>
      </c>
      <c r="E758">
        <v>477.88</v>
      </c>
      <c r="F758" t="s">
        <v>1661</v>
      </c>
    </row>
    <row r="759" spans="1:6">
      <c r="A759" t="s">
        <v>1581</v>
      </c>
      <c r="B759" t="s">
        <v>1664</v>
      </c>
      <c r="C759" s="2">
        <v>44761</v>
      </c>
      <c r="D759">
        <v>873</v>
      </c>
      <c r="E759">
        <v>635.64</v>
      </c>
      <c r="F759" t="s">
        <v>1663</v>
      </c>
    </row>
    <row r="760" spans="1:6">
      <c r="A760" t="s">
        <v>1583</v>
      </c>
      <c r="B760" t="s">
        <v>1666</v>
      </c>
      <c r="C760" s="2">
        <v>44770</v>
      </c>
      <c r="D760">
        <v>350</v>
      </c>
      <c r="E760">
        <v>270.82</v>
      </c>
      <c r="F760" t="s">
        <v>1665</v>
      </c>
    </row>
    <row r="761" spans="1:6">
      <c r="A761" t="s">
        <v>1585</v>
      </c>
      <c r="B761" t="s">
        <v>1660</v>
      </c>
      <c r="C761" s="2">
        <v>44769</v>
      </c>
      <c r="D761">
        <v>738</v>
      </c>
      <c r="E761">
        <v>238.98</v>
      </c>
      <c r="F761" t="s">
        <v>1667</v>
      </c>
    </row>
    <row r="762" spans="1:6">
      <c r="A762" t="s">
        <v>1587</v>
      </c>
      <c r="B762" t="s">
        <v>1662</v>
      </c>
      <c r="C762" s="2">
        <v>44785</v>
      </c>
      <c r="D762">
        <v>712</v>
      </c>
      <c r="E762">
        <v>83.94</v>
      </c>
      <c r="F762" t="s">
        <v>1661</v>
      </c>
    </row>
    <row r="763" spans="1:6">
      <c r="A763" t="s">
        <v>1589</v>
      </c>
      <c r="B763" t="s">
        <v>1664</v>
      </c>
      <c r="C763" s="2">
        <v>44771</v>
      </c>
      <c r="D763">
        <v>577</v>
      </c>
      <c r="E763">
        <v>19.399999999999999</v>
      </c>
      <c r="F763" t="s">
        <v>1663</v>
      </c>
    </row>
    <row r="764" spans="1:6">
      <c r="A764" t="s">
        <v>1591</v>
      </c>
      <c r="B764" t="s">
        <v>1666</v>
      </c>
      <c r="C764" s="2">
        <v>44776</v>
      </c>
      <c r="D764">
        <v>233</v>
      </c>
      <c r="E764">
        <v>193.36</v>
      </c>
      <c r="F764" t="s">
        <v>1665</v>
      </c>
    </row>
    <row r="765" spans="1:6">
      <c r="A765" t="s">
        <v>1593</v>
      </c>
      <c r="B765" t="s">
        <v>1668</v>
      </c>
      <c r="C765" s="2">
        <v>44782</v>
      </c>
      <c r="D765">
        <v>863</v>
      </c>
      <c r="E765">
        <v>531.63</v>
      </c>
      <c r="F765" t="s">
        <v>1667</v>
      </c>
    </row>
    <row r="766" spans="1:6">
      <c r="A766" t="s">
        <v>1595</v>
      </c>
      <c r="B766" t="s">
        <v>1660</v>
      </c>
      <c r="C766" s="2">
        <v>44765</v>
      </c>
      <c r="D766">
        <v>854</v>
      </c>
      <c r="E766">
        <v>251.81</v>
      </c>
      <c r="F766" t="s">
        <v>1661</v>
      </c>
    </row>
    <row r="767" spans="1:6">
      <c r="A767" t="s">
        <v>1597</v>
      </c>
      <c r="B767" t="s">
        <v>1662</v>
      </c>
      <c r="C767" s="2">
        <v>44778</v>
      </c>
      <c r="D767">
        <v>434</v>
      </c>
      <c r="E767">
        <v>17.2</v>
      </c>
      <c r="F767" t="s">
        <v>1663</v>
      </c>
    </row>
    <row r="768" spans="1:6">
      <c r="A768" t="s">
        <v>1599</v>
      </c>
      <c r="B768" t="s">
        <v>1664</v>
      </c>
      <c r="C768" s="2">
        <v>44774</v>
      </c>
      <c r="D768">
        <v>708</v>
      </c>
      <c r="E768">
        <v>402.25</v>
      </c>
      <c r="F768" t="s">
        <v>1665</v>
      </c>
    </row>
    <row r="769" spans="1:6">
      <c r="A769" t="s">
        <v>1601</v>
      </c>
      <c r="B769" t="s">
        <v>1666</v>
      </c>
      <c r="C769" s="2">
        <v>44803</v>
      </c>
      <c r="D769">
        <v>339</v>
      </c>
      <c r="E769">
        <v>262.68</v>
      </c>
      <c r="F769" t="s">
        <v>1667</v>
      </c>
    </row>
    <row r="770" spans="1:6">
      <c r="A770" t="s">
        <v>1603</v>
      </c>
      <c r="B770" t="s">
        <v>1660</v>
      </c>
      <c r="C770" s="2">
        <v>44782</v>
      </c>
      <c r="D770">
        <v>414</v>
      </c>
      <c r="E770">
        <v>105.7</v>
      </c>
      <c r="F770" t="s">
        <v>1661</v>
      </c>
    </row>
    <row r="771" spans="1:6">
      <c r="A771" t="s">
        <v>1605</v>
      </c>
      <c r="B771" t="s">
        <v>1662</v>
      </c>
      <c r="C771" s="2">
        <v>44774</v>
      </c>
      <c r="D771">
        <v>573</v>
      </c>
      <c r="E771">
        <v>500.94</v>
      </c>
      <c r="F771" t="s">
        <v>1663</v>
      </c>
    </row>
    <row r="772" spans="1:6">
      <c r="A772" t="s">
        <v>1607</v>
      </c>
      <c r="B772" t="s">
        <v>1664</v>
      </c>
      <c r="C772" s="2">
        <v>44790</v>
      </c>
      <c r="D772">
        <v>318</v>
      </c>
      <c r="E772">
        <v>96.27</v>
      </c>
      <c r="F772" t="s">
        <v>1665</v>
      </c>
    </row>
    <row r="773" spans="1:6">
      <c r="A773" t="s">
        <v>1609</v>
      </c>
      <c r="B773" t="s">
        <v>1666</v>
      </c>
      <c r="C773" s="2">
        <v>44790</v>
      </c>
      <c r="D773">
        <v>265</v>
      </c>
      <c r="E773">
        <v>236.21</v>
      </c>
      <c r="F773" t="s">
        <v>1667</v>
      </c>
    </row>
    <row r="774" spans="1:6">
      <c r="A774" t="s">
        <v>1611</v>
      </c>
      <c r="B774" t="s">
        <v>1668</v>
      </c>
      <c r="C774" s="2">
        <v>44757</v>
      </c>
      <c r="D774">
        <v>626</v>
      </c>
      <c r="E774">
        <v>433.83</v>
      </c>
      <c r="F774" t="s">
        <v>1661</v>
      </c>
    </row>
    <row r="775" spans="1:6">
      <c r="A775" t="s">
        <v>1613</v>
      </c>
      <c r="B775" t="s">
        <v>1669</v>
      </c>
      <c r="C775" s="2">
        <v>44778</v>
      </c>
      <c r="D775">
        <v>332</v>
      </c>
      <c r="E775">
        <v>174.76</v>
      </c>
      <c r="F775" t="s">
        <v>1663</v>
      </c>
    </row>
    <row r="776" spans="1:6">
      <c r="A776" t="s">
        <v>1615</v>
      </c>
      <c r="B776" t="s">
        <v>1660</v>
      </c>
      <c r="C776" s="2">
        <v>44795</v>
      </c>
      <c r="D776">
        <v>881</v>
      </c>
      <c r="E776">
        <v>111.65</v>
      </c>
      <c r="F776" t="s">
        <v>1665</v>
      </c>
    </row>
    <row r="777" spans="1:6">
      <c r="A777" t="s">
        <v>1617</v>
      </c>
      <c r="B777" t="s">
        <v>1662</v>
      </c>
      <c r="C777" s="2">
        <v>44800</v>
      </c>
      <c r="D777">
        <v>699</v>
      </c>
      <c r="E777">
        <v>542.19000000000005</v>
      </c>
      <c r="F777" t="s">
        <v>1667</v>
      </c>
    </row>
    <row r="778" spans="1:6">
      <c r="A778" t="s">
        <v>1619</v>
      </c>
      <c r="B778" t="s">
        <v>1664</v>
      </c>
      <c r="C778" s="2">
        <v>44783</v>
      </c>
      <c r="D778">
        <v>579</v>
      </c>
      <c r="E778">
        <v>383.37</v>
      </c>
      <c r="F778" t="s">
        <v>1661</v>
      </c>
    </row>
    <row r="779" spans="1:6">
      <c r="A779" t="s">
        <v>1621</v>
      </c>
      <c r="B779" t="s">
        <v>1666</v>
      </c>
      <c r="C779" s="2">
        <v>44770</v>
      </c>
      <c r="D779">
        <v>858</v>
      </c>
      <c r="E779">
        <v>849.24</v>
      </c>
      <c r="F779" t="s">
        <v>1663</v>
      </c>
    </row>
    <row r="780" spans="1:6">
      <c r="A780" t="s">
        <v>1623</v>
      </c>
      <c r="B780" t="s">
        <v>1660</v>
      </c>
      <c r="C780" s="2">
        <v>44764</v>
      </c>
      <c r="D780">
        <v>435</v>
      </c>
      <c r="E780">
        <v>136.08000000000001</v>
      </c>
      <c r="F780" t="s">
        <v>1665</v>
      </c>
    </row>
    <row r="781" spans="1:6">
      <c r="A781" t="s">
        <v>1625</v>
      </c>
      <c r="B781" t="s">
        <v>1662</v>
      </c>
      <c r="C781" s="2">
        <v>44810</v>
      </c>
      <c r="D781">
        <v>275</v>
      </c>
      <c r="E781">
        <v>177.67</v>
      </c>
      <c r="F781" t="s">
        <v>1667</v>
      </c>
    </row>
    <row r="782" spans="1:6">
      <c r="A782" t="s">
        <v>1627</v>
      </c>
      <c r="B782" t="s">
        <v>1664</v>
      </c>
      <c r="C782" s="2">
        <v>44793</v>
      </c>
      <c r="D782">
        <v>599</v>
      </c>
      <c r="E782">
        <v>27.23</v>
      </c>
      <c r="F782" t="s">
        <v>1661</v>
      </c>
    </row>
    <row r="783" spans="1:6">
      <c r="A783" t="s">
        <v>1629</v>
      </c>
      <c r="B783" t="s">
        <v>1666</v>
      </c>
      <c r="C783" s="2">
        <v>44787</v>
      </c>
      <c r="D783">
        <v>503</v>
      </c>
      <c r="E783">
        <v>439.4</v>
      </c>
      <c r="F783" t="s">
        <v>1663</v>
      </c>
    </row>
    <row r="784" spans="1:6">
      <c r="A784" t="s">
        <v>1631</v>
      </c>
      <c r="B784" t="s">
        <v>1660</v>
      </c>
      <c r="C784" s="2">
        <v>44774</v>
      </c>
      <c r="D784">
        <v>501</v>
      </c>
      <c r="E784">
        <v>270.42</v>
      </c>
      <c r="F784" t="s">
        <v>1665</v>
      </c>
    </row>
    <row r="785" spans="1:6">
      <c r="A785" t="s">
        <v>1633</v>
      </c>
      <c r="B785" t="s">
        <v>1662</v>
      </c>
      <c r="C785" s="2">
        <v>44756</v>
      </c>
      <c r="D785">
        <v>257</v>
      </c>
      <c r="E785">
        <v>83.37</v>
      </c>
      <c r="F785" t="s">
        <v>1667</v>
      </c>
    </row>
    <row r="786" spans="1:6">
      <c r="A786" t="s">
        <v>1635</v>
      </c>
      <c r="B786" t="s">
        <v>1664</v>
      </c>
      <c r="C786" s="2">
        <v>44810</v>
      </c>
      <c r="D786">
        <v>350</v>
      </c>
      <c r="E786">
        <v>192.27</v>
      </c>
      <c r="F786" t="s">
        <v>1661</v>
      </c>
    </row>
    <row r="787" spans="1:6">
      <c r="A787" t="s">
        <v>1637</v>
      </c>
      <c r="B787" t="s">
        <v>1666</v>
      </c>
      <c r="C787" s="2">
        <v>44774</v>
      </c>
      <c r="D787">
        <v>725</v>
      </c>
      <c r="E787">
        <v>20.68</v>
      </c>
      <c r="F787" t="s">
        <v>1663</v>
      </c>
    </row>
    <row r="788" spans="1:6">
      <c r="A788" t="s">
        <v>1639</v>
      </c>
      <c r="B788" t="s">
        <v>1660</v>
      </c>
      <c r="C788" s="2">
        <v>44804</v>
      </c>
      <c r="D788">
        <v>514</v>
      </c>
      <c r="E788">
        <v>491.1</v>
      </c>
      <c r="F788" t="s">
        <v>1665</v>
      </c>
    </row>
    <row r="789" spans="1:6">
      <c r="A789" t="s">
        <v>1641</v>
      </c>
      <c r="B789" t="s">
        <v>1662</v>
      </c>
      <c r="C789" s="2">
        <v>44803</v>
      </c>
      <c r="D789">
        <v>359</v>
      </c>
      <c r="E789">
        <v>190.45</v>
      </c>
      <c r="F789" t="s">
        <v>1667</v>
      </c>
    </row>
    <row r="790" spans="1:6">
      <c r="A790" t="s">
        <v>1643</v>
      </c>
      <c r="B790" t="s">
        <v>1664</v>
      </c>
      <c r="C790" s="2">
        <v>44808</v>
      </c>
      <c r="D790">
        <v>479</v>
      </c>
      <c r="E790">
        <v>213.3</v>
      </c>
      <c r="F790" t="s">
        <v>1661</v>
      </c>
    </row>
    <row r="791" spans="1:6">
      <c r="A791" t="s">
        <v>1645</v>
      </c>
      <c r="B791" t="s">
        <v>1666</v>
      </c>
      <c r="C791" s="2">
        <v>44786</v>
      </c>
      <c r="D791">
        <v>328</v>
      </c>
      <c r="E791">
        <v>121.88</v>
      </c>
      <c r="F791" t="s">
        <v>1663</v>
      </c>
    </row>
    <row r="792" spans="1:6">
      <c r="A792" t="s">
        <v>1647</v>
      </c>
      <c r="B792" t="s">
        <v>1668</v>
      </c>
      <c r="C792" s="2">
        <v>44788</v>
      </c>
      <c r="D792">
        <v>751</v>
      </c>
      <c r="E792">
        <v>397.84</v>
      </c>
      <c r="F792" t="s">
        <v>1665</v>
      </c>
    </row>
    <row r="793" spans="1:6">
      <c r="A793" t="s">
        <v>1649</v>
      </c>
      <c r="B793" t="s">
        <v>1660</v>
      </c>
      <c r="C793" s="2">
        <v>44772</v>
      </c>
      <c r="D793">
        <v>777</v>
      </c>
      <c r="E793">
        <v>234.03</v>
      </c>
      <c r="F793" t="s">
        <v>1667</v>
      </c>
    </row>
    <row r="794" spans="1:6">
      <c r="A794" t="s">
        <v>1651</v>
      </c>
      <c r="B794" t="s">
        <v>1662</v>
      </c>
      <c r="C794" s="2">
        <v>44756</v>
      </c>
      <c r="D794">
        <v>602</v>
      </c>
      <c r="E794">
        <v>192.74</v>
      </c>
      <c r="F794" t="s">
        <v>1661</v>
      </c>
    </row>
    <row r="795" spans="1:6">
      <c r="A795" t="s">
        <v>1653</v>
      </c>
      <c r="B795" t="s">
        <v>1664</v>
      </c>
      <c r="C795" s="2">
        <v>44808</v>
      </c>
      <c r="D795">
        <v>880</v>
      </c>
      <c r="E795">
        <v>753.21</v>
      </c>
      <c r="F795" t="s">
        <v>1663</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99"/>
  <sheetViews>
    <sheetView showGridLines="0" tabSelected="1" topLeftCell="E1" workbookViewId="0">
      <selection activeCell="L6" sqref="L6"/>
      <extLst>
        <ext xmlns:xlsdti="http://schemas.microsoft.com/office/spreadsheetml/2023/showDataTypeIcons" uri="{77bfe23e-c014-4d31-8a63-9c772dbf06b6}">
          <xlsdti:showDataTypeIcons visible="0"/>
        </ext>
      </extLst>
    </sheetView>
  </sheetViews>
  <sheetFormatPr defaultColWidth="7.36328125" defaultRowHeight="14.4"/>
  <cols>
    <col min="1" max="1" width="4.81640625" style="11" customWidth="1"/>
    <col min="2" max="2" width="14.54296875" style="11" bestFit="1" customWidth="1"/>
    <col min="3" max="3" width="12.81640625" style="11" bestFit="1" customWidth="1"/>
    <col min="4" max="4" width="11.54296875" style="11" bestFit="1" customWidth="1"/>
    <col min="5" max="5" width="26.1796875" style="11" bestFit="1" customWidth="1"/>
    <col min="6" max="6" width="13.08984375" style="11" bestFit="1" customWidth="1"/>
    <col min="7" max="7" width="21.90625" style="34" bestFit="1" customWidth="1"/>
    <col min="8" max="8" width="13.90625" style="11" bestFit="1" customWidth="1"/>
    <col min="9" max="9" width="27.36328125" style="11" bestFit="1" customWidth="1"/>
    <col min="10" max="10" width="10.90625" style="11" bestFit="1" customWidth="1"/>
    <col min="11" max="11" width="26.08984375" style="34" bestFit="1" customWidth="1"/>
    <col min="12" max="12" width="24.54296875" style="34" bestFit="1" customWidth="1"/>
    <col min="13" max="13" width="18.7265625" style="34" bestFit="1" customWidth="1"/>
    <col min="14" max="16384" width="7.36328125" style="11"/>
  </cols>
  <sheetData>
    <row r="1" spans="2:13" s="8" customFormat="1">
      <c r="G1" s="29"/>
      <c r="K1" s="29"/>
      <c r="L1" s="29"/>
      <c r="M1" s="29"/>
    </row>
    <row r="2" spans="2:13" s="8" customFormat="1" ht="22.8">
      <c r="B2" s="7" t="s">
        <v>1755</v>
      </c>
      <c r="G2" s="29"/>
      <c r="K2" s="29"/>
      <c r="L2" s="29"/>
      <c r="M2" s="29"/>
    </row>
    <row r="3" spans="2:13" s="8" customFormat="1">
      <c r="B3" s="9"/>
      <c r="G3" s="29"/>
      <c r="K3" s="29"/>
      <c r="L3" s="29"/>
      <c r="M3" s="29"/>
    </row>
    <row r="5" spans="2:13">
      <c r="B5" s="10" t="s">
        <v>6</v>
      </c>
      <c r="C5" s="10" t="s">
        <v>1655</v>
      </c>
      <c r="D5" s="10" t="s">
        <v>1656</v>
      </c>
      <c r="E5" s="10" t="s">
        <v>1670</v>
      </c>
      <c r="F5" s="10" t="s">
        <v>1671</v>
      </c>
      <c r="G5" s="30" t="s">
        <v>1672</v>
      </c>
      <c r="H5" s="10" t="s">
        <v>1673</v>
      </c>
      <c r="I5" s="10" t="s">
        <v>1674</v>
      </c>
      <c r="J5" s="10" t="s">
        <v>1675</v>
      </c>
      <c r="K5" s="30" t="s">
        <v>1676</v>
      </c>
      <c r="L5" s="30" t="s">
        <v>1677</v>
      </c>
      <c r="M5" s="35" t="s">
        <v>1678</v>
      </c>
    </row>
    <row r="6" spans="2:13">
      <c r="B6" s="12" t="s">
        <v>16</v>
      </c>
      <c r="C6" s="12" t="s">
        <v>1660</v>
      </c>
      <c r="D6" s="13">
        <v>44739</v>
      </c>
      <c r="E6" s="12" t="s">
        <v>1679</v>
      </c>
      <c r="F6" s="12" t="s">
        <v>1680</v>
      </c>
      <c r="G6" s="31">
        <v>72</v>
      </c>
      <c r="H6" s="12" t="s">
        <v>21</v>
      </c>
      <c r="I6" s="14">
        <v>8</v>
      </c>
      <c r="J6" s="15">
        <v>1.3720801233135901E-2</v>
      </c>
      <c r="K6" s="31">
        <f>PRODUCT(I6,G6)</f>
        <v>576</v>
      </c>
      <c r="L6" s="31">
        <f t="shared" ref="L6:L69" si="0">ROUND(K6*(1-J6),0)</f>
        <v>568</v>
      </c>
      <c r="M6" s="36">
        <f>ROUND(L6-K6,0)</f>
        <v>-8</v>
      </c>
    </row>
    <row r="7" spans="2:13">
      <c r="B7" s="16" t="s">
        <v>22</v>
      </c>
      <c r="C7" s="16" t="s">
        <v>1662</v>
      </c>
      <c r="D7" s="17">
        <v>44740</v>
      </c>
      <c r="E7" s="16" t="s">
        <v>1681</v>
      </c>
      <c r="F7" s="16" t="s">
        <v>1682</v>
      </c>
      <c r="G7" s="32">
        <v>65</v>
      </c>
      <c r="H7" s="16" t="s">
        <v>26</v>
      </c>
      <c r="I7" s="18">
        <v>7</v>
      </c>
      <c r="J7" s="19">
        <v>2.2083854314921901E-2</v>
      </c>
      <c r="K7" s="32">
        <f t="shared" ref="K7:K69" si="1">PRODUCT(I7,G7)</f>
        <v>455</v>
      </c>
      <c r="L7" s="32">
        <f t="shared" si="0"/>
        <v>445</v>
      </c>
      <c r="M7" s="37">
        <f t="shared" ref="M7:M70" si="2">ROUND(L7-K7,0)</f>
        <v>-10</v>
      </c>
    </row>
    <row r="8" spans="2:13">
      <c r="B8" s="12" t="s">
        <v>27</v>
      </c>
      <c r="C8" s="12" t="s">
        <v>1664</v>
      </c>
      <c r="D8" s="13">
        <v>44734</v>
      </c>
      <c r="E8" s="12" t="s">
        <v>1683</v>
      </c>
      <c r="F8" s="12" t="s">
        <v>1680</v>
      </c>
      <c r="G8" s="31">
        <v>250</v>
      </c>
      <c r="H8" s="12" t="s">
        <v>32</v>
      </c>
      <c r="I8" s="14">
        <v>3</v>
      </c>
      <c r="J8" s="15">
        <v>0.92842323956324602</v>
      </c>
      <c r="K8" s="31">
        <f t="shared" si="1"/>
        <v>750</v>
      </c>
      <c r="L8" s="31">
        <f t="shared" si="0"/>
        <v>54</v>
      </c>
      <c r="M8" s="36">
        <f t="shared" si="2"/>
        <v>-696</v>
      </c>
    </row>
    <row r="9" spans="2:13">
      <c r="B9" s="16" t="s">
        <v>33</v>
      </c>
      <c r="C9" s="16" t="s">
        <v>1666</v>
      </c>
      <c r="D9" s="17">
        <v>44737</v>
      </c>
      <c r="E9" s="16" t="s">
        <v>1684</v>
      </c>
      <c r="F9" s="16" t="s">
        <v>1682</v>
      </c>
      <c r="G9" s="32">
        <v>130</v>
      </c>
      <c r="H9" s="16" t="s">
        <v>21</v>
      </c>
      <c r="I9" s="18">
        <v>5</v>
      </c>
      <c r="J9" s="19">
        <v>0.20990358910221099</v>
      </c>
      <c r="K9" s="32">
        <f t="shared" si="1"/>
        <v>650</v>
      </c>
      <c r="L9" s="32">
        <f t="shared" si="0"/>
        <v>514</v>
      </c>
      <c r="M9" s="37">
        <f t="shared" si="2"/>
        <v>-136</v>
      </c>
    </row>
    <row r="10" spans="2:13">
      <c r="B10" s="12" t="s">
        <v>36</v>
      </c>
      <c r="C10" s="12" t="s">
        <v>1660</v>
      </c>
      <c r="D10" s="13">
        <v>44735</v>
      </c>
      <c r="E10" s="12" t="s">
        <v>1679</v>
      </c>
      <c r="F10" s="12" t="s">
        <v>1680</v>
      </c>
      <c r="G10" s="31">
        <v>72</v>
      </c>
      <c r="H10" s="12" t="s">
        <v>26</v>
      </c>
      <c r="I10" s="14">
        <v>4</v>
      </c>
      <c r="J10" s="15">
        <v>0.184343159134289</v>
      </c>
      <c r="K10" s="31">
        <f t="shared" si="1"/>
        <v>288</v>
      </c>
      <c r="L10" s="31">
        <f t="shared" si="0"/>
        <v>235</v>
      </c>
      <c r="M10" s="36">
        <f t="shared" si="2"/>
        <v>-53</v>
      </c>
    </row>
    <row r="11" spans="2:13">
      <c r="B11" s="16" t="s">
        <v>39</v>
      </c>
      <c r="C11" s="16" t="s">
        <v>1662</v>
      </c>
      <c r="D11" s="17">
        <v>44727</v>
      </c>
      <c r="E11" s="16" t="s">
        <v>1681</v>
      </c>
      <c r="F11" s="16" t="s">
        <v>1682</v>
      </c>
      <c r="G11" s="32">
        <v>65</v>
      </c>
      <c r="H11" s="16" t="s">
        <v>32</v>
      </c>
      <c r="I11" s="18">
        <v>8</v>
      </c>
      <c r="J11" s="19">
        <v>0.111444290733823</v>
      </c>
      <c r="K11" s="32">
        <f t="shared" si="1"/>
        <v>520</v>
      </c>
      <c r="L11" s="32">
        <f t="shared" si="0"/>
        <v>462</v>
      </c>
      <c r="M11" s="37">
        <f t="shared" si="2"/>
        <v>-58</v>
      </c>
    </row>
    <row r="12" spans="2:13">
      <c r="B12" s="12" t="s">
        <v>42</v>
      </c>
      <c r="C12" s="12" t="s">
        <v>1664</v>
      </c>
      <c r="D12" s="13">
        <v>44740</v>
      </c>
      <c r="E12" s="12" t="s">
        <v>1683</v>
      </c>
      <c r="F12" s="12" t="s">
        <v>1680</v>
      </c>
      <c r="G12" s="31">
        <v>250</v>
      </c>
      <c r="H12" s="12" t="s">
        <v>21</v>
      </c>
      <c r="I12" s="14">
        <v>3</v>
      </c>
      <c r="J12" s="15">
        <v>0.56286929186816403</v>
      </c>
      <c r="K12" s="31">
        <f t="shared" si="1"/>
        <v>750</v>
      </c>
      <c r="L12" s="31">
        <f t="shared" si="0"/>
        <v>328</v>
      </c>
      <c r="M12" s="36">
        <f t="shared" si="2"/>
        <v>-422</v>
      </c>
    </row>
    <row r="13" spans="2:13">
      <c r="B13" s="16" t="s">
        <v>45</v>
      </c>
      <c r="C13" s="16" t="s">
        <v>1666</v>
      </c>
      <c r="D13" s="17">
        <v>44725</v>
      </c>
      <c r="E13" s="16" t="s">
        <v>1684</v>
      </c>
      <c r="F13" s="16" t="s">
        <v>1682</v>
      </c>
      <c r="G13" s="32">
        <v>130</v>
      </c>
      <c r="H13" s="16" t="s">
        <v>26</v>
      </c>
      <c r="I13" s="18">
        <v>6</v>
      </c>
      <c r="J13" s="19">
        <v>3.1389560503074197E-2</v>
      </c>
      <c r="K13" s="32">
        <f t="shared" si="1"/>
        <v>780</v>
      </c>
      <c r="L13" s="32">
        <f t="shared" si="0"/>
        <v>756</v>
      </c>
      <c r="M13" s="37">
        <f t="shared" si="2"/>
        <v>-24</v>
      </c>
    </row>
    <row r="14" spans="2:13">
      <c r="B14" s="12" t="s">
        <v>48</v>
      </c>
      <c r="C14" s="12" t="s">
        <v>1668</v>
      </c>
      <c r="D14" s="13">
        <v>44736</v>
      </c>
      <c r="E14" s="12" t="s">
        <v>1685</v>
      </c>
      <c r="F14" s="12" t="s">
        <v>1680</v>
      </c>
      <c r="G14" s="31">
        <v>60</v>
      </c>
      <c r="H14" s="12" t="s">
        <v>32</v>
      </c>
      <c r="I14" s="14">
        <v>7</v>
      </c>
      <c r="J14" s="15">
        <v>0.23798278495106201</v>
      </c>
      <c r="K14" s="31">
        <f t="shared" si="1"/>
        <v>420</v>
      </c>
      <c r="L14" s="31">
        <f>ROUND(K14*(1-J14),0)</f>
        <v>320</v>
      </c>
      <c r="M14" s="36">
        <f t="shared" si="2"/>
        <v>-100</v>
      </c>
    </row>
    <row r="15" spans="2:13">
      <c r="B15" s="16" t="s">
        <v>51</v>
      </c>
      <c r="C15" s="16" t="s">
        <v>1660</v>
      </c>
      <c r="D15" s="17">
        <v>44725</v>
      </c>
      <c r="E15" s="16" t="s">
        <v>1679</v>
      </c>
      <c r="F15" s="16" t="s">
        <v>1682</v>
      </c>
      <c r="G15" s="32">
        <v>72</v>
      </c>
      <c r="H15" s="16" t="s">
        <v>21</v>
      </c>
      <c r="I15" s="18">
        <v>9</v>
      </c>
      <c r="J15" s="19">
        <v>0.19712344024473999</v>
      </c>
      <c r="K15" s="32">
        <f t="shared" si="1"/>
        <v>648</v>
      </c>
      <c r="L15" s="32">
        <f t="shared" si="0"/>
        <v>520</v>
      </c>
      <c r="M15" s="37">
        <f t="shared" si="2"/>
        <v>-128</v>
      </c>
    </row>
    <row r="16" spans="2:13">
      <c r="B16" s="12" t="s">
        <v>53</v>
      </c>
      <c r="C16" s="12" t="s">
        <v>1662</v>
      </c>
      <c r="D16" s="13">
        <v>44734</v>
      </c>
      <c r="E16" s="12" t="s">
        <v>1681</v>
      </c>
      <c r="F16" s="12" t="s">
        <v>1680</v>
      </c>
      <c r="G16" s="31">
        <v>65</v>
      </c>
      <c r="H16" s="12" t="s">
        <v>26</v>
      </c>
      <c r="I16" s="14">
        <v>4</v>
      </c>
      <c r="J16" s="15">
        <v>6.8295799738434901E-2</v>
      </c>
      <c r="K16" s="31">
        <f t="shared" si="1"/>
        <v>260</v>
      </c>
      <c r="L16" s="31">
        <f t="shared" si="0"/>
        <v>242</v>
      </c>
      <c r="M16" s="36">
        <f t="shared" si="2"/>
        <v>-18</v>
      </c>
    </row>
    <row r="17" spans="2:13">
      <c r="B17" s="16" t="s">
        <v>56</v>
      </c>
      <c r="C17" s="16" t="s">
        <v>1664</v>
      </c>
      <c r="D17" s="17">
        <v>44731</v>
      </c>
      <c r="E17" s="16" t="s">
        <v>1683</v>
      </c>
      <c r="F17" s="16" t="s">
        <v>1682</v>
      </c>
      <c r="G17" s="32">
        <v>250</v>
      </c>
      <c r="H17" s="16" t="s">
        <v>32</v>
      </c>
      <c r="I17" s="18">
        <v>3</v>
      </c>
      <c r="J17" s="19">
        <v>1.6828522965904199E-2</v>
      </c>
      <c r="K17" s="32">
        <f t="shared" si="1"/>
        <v>750</v>
      </c>
      <c r="L17" s="32">
        <f t="shared" si="0"/>
        <v>737</v>
      </c>
      <c r="M17" s="37">
        <f t="shared" si="2"/>
        <v>-13</v>
      </c>
    </row>
    <row r="18" spans="2:13">
      <c r="B18" s="12" t="s">
        <v>59</v>
      </c>
      <c r="C18" s="12" t="s">
        <v>1666</v>
      </c>
      <c r="D18" s="13">
        <v>44730</v>
      </c>
      <c r="E18" s="12" t="s">
        <v>1684</v>
      </c>
      <c r="F18" s="12" t="s">
        <v>1680</v>
      </c>
      <c r="G18" s="31">
        <v>130</v>
      </c>
      <c r="H18" s="12" t="s">
        <v>21</v>
      </c>
      <c r="I18" s="14">
        <v>5</v>
      </c>
      <c r="J18" s="15">
        <v>0.26661284065553498</v>
      </c>
      <c r="K18" s="31">
        <f t="shared" si="1"/>
        <v>650</v>
      </c>
      <c r="L18" s="31">
        <f t="shared" si="0"/>
        <v>477</v>
      </c>
      <c r="M18" s="36">
        <f t="shared" si="2"/>
        <v>-173</v>
      </c>
    </row>
    <row r="19" spans="2:13">
      <c r="B19" s="16" t="s">
        <v>62</v>
      </c>
      <c r="C19" s="16" t="s">
        <v>1660</v>
      </c>
      <c r="D19" s="17">
        <v>44735</v>
      </c>
      <c r="E19" s="16" t="s">
        <v>1679</v>
      </c>
      <c r="F19" s="16" t="s">
        <v>1682</v>
      </c>
      <c r="G19" s="32">
        <v>72</v>
      </c>
      <c r="H19" s="16" t="s">
        <v>26</v>
      </c>
      <c r="I19" s="18">
        <v>12</v>
      </c>
      <c r="J19" s="19">
        <v>0.21251347110701599</v>
      </c>
      <c r="K19" s="32">
        <f t="shared" si="1"/>
        <v>864</v>
      </c>
      <c r="L19" s="32">
        <f t="shared" si="0"/>
        <v>680</v>
      </c>
      <c r="M19" s="37">
        <f t="shared" si="2"/>
        <v>-184</v>
      </c>
    </row>
    <row r="20" spans="2:13">
      <c r="B20" s="12" t="s">
        <v>65</v>
      </c>
      <c r="C20" s="12" t="s">
        <v>1662</v>
      </c>
      <c r="D20" s="13">
        <v>44738</v>
      </c>
      <c r="E20" s="12" t="s">
        <v>1681</v>
      </c>
      <c r="F20" s="12" t="s">
        <v>1680</v>
      </c>
      <c r="G20" s="31">
        <v>65</v>
      </c>
      <c r="H20" s="12" t="s">
        <v>32</v>
      </c>
      <c r="I20" s="14">
        <v>4</v>
      </c>
      <c r="J20" s="15">
        <v>0.109942576614138</v>
      </c>
      <c r="K20" s="31">
        <f t="shared" si="1"/>
        <v>260</v>
      </c>
      <c r="L20" s="31">
        <f t="shared" si="0"/>
        <v>231</v>
      </c>
      <c r="M20" s="36">
        <f t="shared" si="2"/>
        <v>-29</v>
      </c>
    </row>
    <row r="21" spans="2:13">
      <c r="B21" s="16" t="s">
        <v>67</v>
      </c>
      <c r="C21" s="16" t="s">
        <v>1664</v>
      </c>
      <c r="D21" s="17">
        <v>44738</v>
      </c>
      <c r="E21" s="16" t="s">
        <v>1683</v>
      </c>
      <c r="F21" s="16" t="s">
        <v>1682</v>
      </c>
      <c r="G21" s="32">
        <v>250</v>
      </c>
      <c r="H21" s="16" t="s">
        <v>21</v>
      </c>
      <c r="I21" s="18">
        <v>3</v>
      </c>
      <c r="J21" s="19">
        <v>0.53607498908607099</v>
      </c>
      <c r="K21" s="32">
        <f t="shared" si="1"/>
        <v>750</v>
      </c>
      <c r="L21" s="32">
        <f t="shared" si="0"/>
        <v>348</v>
      </c>
      <c r="M21" s="37">
        <f t="shared" si="2"/>
        <v>-402</v>
      </c>
    </row>
    <row r="22" spans="2:13">
      <c r="B22" s="12" t="s">
        <v>70</v>
      </c>
      <c r="C22" s="12" t="s">
        <v>1666</v>
      </c>
      <c r="D22" s="13">
        <v>44725</v>
      </c>
      <c r="E22" s="12" t="s">
        <v>1684</v>
      </c>
      <c r="F22" s="12" t="s">
        <v>1680</v>
      </c>
      <c r="G22" s="31">
        <v>130</v>
      </c>
      <c r="H22" s="12" t="s">
        <v>26</v>
      </c>
      <c r="I22" s="14">
        <v>5</v>
      </c>
      <c r="J22" s="15">
        <v>3.7515550327758003E-2</v>
      </c>
      <c r="K22" s="31">
        <f t="shared" si="1"/>
        <v>650</v>
      </c>
      <c r="L22" s="31">
        <f t="shared" si="0"/>
        <v>626</v>
      </c>
      <c r="M22" s="36">
        <f t="shared" si="2"/>
        <v>-24</v>
      </c>
    </row>
    <row r="23" spans="2:13">
      <c r="B23" s="16" t="s">
        <v>72</v>
      </c>
      <c r="C23" s="16" t="s">
        <v>1668</v>
      </c>
      <c r="D23" s="17">
        <v>44730</v>
      </c>
      <c r="E23" s="16" t="s">
        <v>1685</v>
      </c>
      <c r="F23" s="16" t="s">
        <v>1680</v>
      </c>
      <c r="G23" s="32">
        <v>60</v>
      </c>
      <c r="H23" s="16" t="s">
        <v>32</v>
      </c>
      <c r="I23" s="18">
        <v>13</v>
      </c>
      <c r="J23" s="19">
        <v>2.4938289886663099E-2</v>
      </c>
      <c r="K23" s="32">
        <f t="shared" si="1"/>
        <v>780</v>
      </c>
      <c r="L23" s="32">
        <f t="shared" si="0"/>
        <v>761</v>
      </c>
      <c r="M23" s="37">
        <f t="shared" si="2"/>
        <v>-19</v>
      </c>
    </row>
    <row r="24" spans="2:13">
      <c r="B24" s="12" t="s">
        <v>74</v>
      </c>
      <c r="C24" s="12" t="s">
        <v>1669</v>
      </c>
      <c r="D24" s="13">
        <v>44738</v>
      </c>
      <c r="E24" s="12" t="s">
        <v>1686</v>
      </c>
      <c r="F24" s="12" t="s">
        <v>1682</v>
      </c>
      <c r="G24" s="31">
        <v>95</v>
      </c>
      <c r="H24" s="12" t="s">
        <v>21</v>
      </c>
      <c r="I24" s="14">
        <v>5</v>
      </c>
      <c r="J24" s="15">
        <v>1.0123391970414199E-2</v>
      </c>
      <c r="K24" s="31">
        <f t="shared" si="1"/>
        <v>475</v>
      </c>
      <c r="L24" s="31">
        <f t="shared" si="0"/>
        <v>470</v>
      </c>
      <c r="M24" s="36">
        <f t="shared" si="2"/>
        <v>-5</v>
      </c>
    </row>
    <row r="25" spans="2:13">
      <c r="B25" s="16" t="s">
        <v>77</v>
      </c>
      <c r="C25" s="16" t="s">
        <v>1660</v>
      </c>
      <c r="D25" s="17">
        <v>44730</v>
      </c>
      <c r="E25" s="16" t="s">
        <v>1679</v>
      </c>
      <c r="F25" s="16" t="s">
        <v>1682</v>
      </c>
      <c r="G25" s="32">
        <v>72</v>
      </c>
      <c r="H25" s="16" t="s">
        <v>26</v>
      </c>
      <c r="I25" s="18">
        <v>5</v>
      </c>
      <c r="J25" s="19">
        <v>0.13088693663791401</v>
      </c>
      <c r="K25" s="32">
        <f t="shared" si="1"/>
        <v>360</v>
      </c>
      <c r="L25" s="32">
        <f t="shared" si="0"/>
        <v>313</v>
      </c>
      <c r="M25" s="37">
        <f t="shared" si="2"/>
        <v>-47</v>
      </c>
    </row>
    <row r="26" spans="2:13">
      <c r="B26" s="12" t="s">
        <v>80</v>
      </c>
      <c r="C26" s="12" t="s">
        <v>1662</v>
      </c>
      <c r="D26" s="13">
        <v>44738</v>
      </c>
      <c r="E26" s="12" t="s">
        <v>1681</v>
      </c>
      <c r="F26" s="12" t="s">
        <v>1682</v>
      </c>
      <c r="G26" s="31">
        <v>65</v>
      </c>
      <c r="H26" s="12" t="s">
        <v>32</v>
      </c>
      <c r="I26" s="14">
        <v>4</v>
      </c>
      <c r="J26" s="15">
        <v>6.6961969492996501E-2</v>
      </c>
      <c r="K26" s="31">
        <f t="shared" si="1"/>
        <v>260</v>
      </c>
      <c r="L26" s="31">
        <f t="shared" si="0"/>
        <v>243</v>
      </c>
      <c r="M26" s="36">
        <f t="shared" si="2"/>
        <v>-17</v>
      </c>
    </row>
    <row r="27" spans="2:13">
      <c r="B27" s="16" t="s">
        <v>83</v>
      </c>
      <c r="C27" s="16" t="s">
        <v>1664</v>
      </c>
      <c r="D27" s="17">
        <v>44734</v>
      </c>
      <c r="E27" s="16" t="s">
        <v>1683</v>
      </c>
      <c r="F27" s="16" t="s">
        <v>1680</v>
      </c>
      <c r="G27" s="32">
        <v>250</v>
      </c>
      <c r="H27" s="16" t="s">
        <v>21</v>
      </c>
      <c r="I27" s="18">
        <v>3</v>
      </c>
      <c r="J27" s="19">
        <v>0.36350761794645797</v>
      </c>
      <c r="K27" s="32">
        <f t="shared" si="1"/>
        <v>750</v>
      </c>
      <c r="L27" s="32">
        <f t="shared" si="0"/>
        <v>477</v>
      </c>
      <c r="M27" s="37">
        <f t="shared" si="2"/>
        <v>-273</v>
      </c>
    </row>
    <row r="28" spans="2:13">
      <c r="B28" s="12" t="s">
        <v>86</v>
      </c>
      <c r="C28" s="12" t="s">
        <v>1666</v>
      </c>
      <c r="D28" s="13">
        <v>44729</v>
      </c>
      <c r="E28" s="12" t="s">
        <v>1684</v>
      </c>
      <c r="F28" s="12" t="s">
        <v>1680</v>
      </c>
      <c r="G28" s="31">
        <v>130</v>
      </c>
      <c r="H28" s="12" t="s">
        <v>26</v>
      </c>
      <c r="I28" s="14">
        <v>6</v>
      </c>
      <c r="J28" s="15">
        <v>0.30841415491993102</v>
      </c>
      <c r="K28" s="31">
        <f t="shared" si="1"/>
        <v>780</v>
      </c>
      <c r="L28" s="31">
        <f t="shared" si="0"/>
        <v>539</v>
      </c>
      <c r="M28" s="36">
        <f t="shared" si="2"/>
        <v>-241</v>
      </c>
    </row>
    <row r="29" spans="2:13">
      <c r="B29" s="16" t="s">
        <v>89</v>
      </c>
      <c r="C29" s="16" t="s">
        <v>1660</v>
      </c>
      <c r="D29" s="17">
        <v>44730</v>
      </c>
      <c r="E29" s="16" t="s">
        <v>1679</v>
      </c>
      <c r="F29" s="16" t="s">
        <v>1680</v>
      </c>
      <c r="G29" s="32">
        <v>72</v>
      </c>
      <c r="H29" s="16" t="s">
        <v>32</v>
      </c>
      <c r="I29" s="18">
        <v>8</v>
      </c>
      <c r="J29" s="19">
        <v>0.21287301321989599</v>
      </c>
      <c r="K29" s="32">
        <f t="shared" si="1"/>
        <v>576</v>
      </c>
      <c r="L29" s="32">
        <f t="shared" si="0"/>
        <v>453</v>
      </c>
      <c r="M29" s="37">
        <f t="shared" si="2"/>
        <v>-123</v>
      </c>
    </row>
    <row r="30" spans="2:13">
      <c r="B30" s="12" t="s">
        <v>92</v>
      </c>
      <c r="C30" s="12" t="s">
        <v>1662</v>
      </c>
      <c r="D30" s="13">
        <v>44728</v>
      </c>
      <c r="E30" s="12" t="s">
        <v>1681</v>
      </c>
      <c r="F30" s="12" t="s">
        <v>1680</v>
      </c>
      <c r="G30" s="31">
        <v>65</v>
      </c>
      <c r="H30" s="12" t="s">
        <v>21</v>
      </c>
      <c r="I30" s="14">
        <v>5</v>
      </c>
      <c r="J30" s="15">
        <v>0.11047742601795101</v>
      </c>
      <c r="K30" s="31">
        <f t="shared" si="1"/>
        <v>325</v>
      </c>
      <c r="L30" s="31">
        <f t="shared" si="0"/>
        <v>289</v>
      </c>
      <c r="M30" s="36">
        <f t="shared" si="2"/>
        <v>-36</v>
      </c>
    </row>
    <row r="31" spans="2:13">
      <c r="B31" s="16" t="s">
        <v>95</v>
      </c>
      <c r="C31" s="16" t="s">
        <v>1664</v>
      </c>
      <c r="D31" s="17">
        <v>44735</v>
      </c>
      <c r="E31" s="16" t="s">
        <v>1683</v>
      </c>
      <c r="F31" s="16" t="s">
        <v>1680</v>
      </c>
      <c r="G31" s="32">
        <v>250</v>
      </c>
      <c r="H31" s="16" t="s">
        <v>26</v>
      </c>
      <c r="I31" s="18">
        <v>2</v>
      </c>
      <c r="J31" s="19">
        <v>4.8799156151631197E-2</v>
      </c>
      <c r="K31" s="32">
        <f t="shared" si="1"/>
        <v>500</v>
      </c>
      <c r="L31" s="32">
        <f t="shared" si="0"/>
        <v>476</v>
      </c>
      <c r="M31" s="37">
        <f t="shared" si="2"/>
        <v>-24</v>
      </c>
    </row>
    <row r="32" spans="2:13">
      <c r="B32" s="12" t="s">
        <v>98</v>
      </c>
      <c r="C32" s="12" t="s">
        <v>1666</v>
      </c>
      <c r="D32" s="13">
        <v>44738</v>
      </c>
      <c r="E32" s="12" t="s">
        <v>1684</v>
      </c>
      <c r="F32" s="12" t="s">
        <v>1680</v>
      </c>
      <c r="G32" s="31">
        <v>130</v>
      </c>
      <c r="H32" s="12" t="s">
        <v>32</v>
      </c>
      <c r="I32" s="14">
        <v>3</v>
      </c>
      <c r="J32" s="15">
        <v>0.27879506176921398</v>
      </c>
      <c r="K32" s="31">
        <f t="shared" si="1"/>
        <v>390</v>
      </c>
      <c r="L32" s="31">
        <f t="shared" si="0"/>
        <v>281</v>
      </c>
      <c r="M32" s="36">
        <f t="shared" si="2"/>
        <v>-109</v>
      </c>
    </row>
    <row r="33" spans="2:13">
      <c r="B33" s="16" t="s">
        <v>101</v>
      </c>
      <c r="C33" s="16" t="s">
        <v>1668</v>
      </c>
      <c r="D33" s="17">
        <v>44738</v>
      </c>
      <c r="E33" s="16" t="s">
        <v>1685</v>
      </c>
      <c r="F33" s="16" t="s">
        <v>1680</v>
      </c>
      <c r="G33" s="32">
        <v>60</v>
      </c>
      <c r="H33" s="16" t="s">
        <v>21</v>
      </c>
      <c r="I33" s="18">
        <v>14</v>
      </c>
      <c r="J33" s="19">
        <v>7.6045534046593005E-2</v>
      </c>
      <c r="K33" s="32">
        <f t="shared" si="1"/>
        <v>840</v>
      </c>
      <c r="L33" s="32">
        <f t="shared" si="0"/>
        <v>776</v>
      </c>
      <c r="M33" s="37">
        <f t="shared" si="2"/>
        <v>-64</v>
      </c>
    </row>
    <row r="34" spans="2:13">
      <c r="B34" s="12" t="s">
        <v>105</v>
      </c>
      <c r="C34" s="12" t="s">
        <v>1660</v>
      </c>
      <c r="D34" s="13">
        <v>44734</v>
      </c>
      <c r="E34" s="12" t="s">
        <v>1679</v>
      </c>
      <c r="F34" s="12" t="s">
        <v>1680</v>
      </c>
      <c r="G34" s="31">
        <v>72</v>
      </c>
      <c r="H34" s="12" t="s">
        <v>26</v>
      </c>
      <c r="I34" s="14">
        <v>12</v>
      </c>
      <c r="J34" s="15">
        <v>0.120557627547403</v>
      </c>
      <c r="K34" s="31">
        <f t="shared" si="1"/>
        <v>864</v>
      </c>
      <c r="L34" s="31">
        <f t="shared" si="0"/>
        <v>760</v>
      </c>
      <c r="M34" s="36">
        <f t="shared" si="2"/>
        <v>-104</v>
      </c>
    </row>
    <row r="35" spans="2:13">
      <c r="B35" s="16" t="s">
        <v>108</v>
      </c>
      <c r="C35" s="16" t="s">
        <v>1662</v>
      </c>
      <c r="D35" s="17">
        <v>44727</v>
      </c>
      <c r="E35" s="16" t="s">
        <v>1681</v>
      </c>
      <c r="F35" s="16" t="s">
        <v>1680</v>
      </c>
      <c r="G35" s="32">
        <v>65</v>
      </c>
      <c r="H35" s="16" t="s">
        <v>32</v>
      </c>
      <c r="I35" s="18">
        <v>5</v>
      </c>
      <c r="J35" s="19">
        <v>0.30283946337780598</v>
      </c>
      <c r="K35" s="32">
        <f t="shared" si="1"/>
        <v>325</v>
      </c>
      <c r="L35" s="32">
        <f t="shared" si="0"/>
        <v>227</v>
      </c>
      <c r="M35" s="37">
        <f t="shared" si="2"/>
        <v>-98</v>
      </c>
    </row>
    <row r="36" spans="2:13">
      <c r="B36" s="12" t="s">
        <v>111</v>
      </c>
      <c r="C36" s="12" t="s">
        <v>1664</v>
      </c>
      <c r="D36" s="13">
        <v>44729</v>
      </c>
      <c r="E36" s="12" t="s">
        <v>1683</v>
      </c>
      <c r="F36" s="12" t="s">
        <v>1682</v>
      </c>
      <c r="G36" s="31">
        <v>250</v>
      </c>
      <c r="H36" s="12" t="s">
        <v>21</v>
      </c>
      <c r="I36" s="14">
        <v>1</v>
      </c>
      <c r="J36" s="15">
        <v>0.414018298732583</v>
      </c>
      <c r="K36" s="31">
        <f t="shared" si="1"/>
        <v>250</v>
      </c>
      <c r="L36" s="31">
        <f t="shared" si="0"/>
        <v>146</v>
      </c>
      <c r="M36" s="36">
        <f t="shared" si="2"/>
        <v>-104</v>
      </c>
    </row>
    <row r="37" spans="2:13">
      <c r="B37" s="16" t="s">
        <v>114</v>
      </c>
      <c r="C37" s="16" t="s">
        <v>1666</v>
      </c>
      <c r="D37" s="17">
        <v>44726</v>
      </c>
      <c r="E37" s="16" t="s">
        <v>1684</v>
      </c>
      <c r="F37" s="16" t="s">
        <v>1680</v>
      </c>
      <c r="G37" s="32">
        <v>130</v>
      </c>
      <c r="H37" s="16" t="s">
        <v>26</v>
      </c>
      <c r="I37" s="18">
        <v>4</v>
      </c>
      <c r="J37" s="19">
        <v>6.1603660271292299E-3</v>
      </c>
      <c r="K37" s="32">
        <f t="shared" si="1"/>
        <v>520</v>
      </c>
      <c r="L37" s="32">
        <f t="shared" si="0"/>
        <v>517</v>
      </c>
      <c r="M37" s="37">
        <f t="shared" si="2"/>
        <v>-3</v>
      </c>
    </row>
    <row r="38" spans="2:13">
      <c r="B38" s="12" t="s">
        <v>117</v>
      </c>
      <c r="C38" s="12" t="s">
        <v>1660</v>
      </c>
      <c r="D38" s="13">
        <v>44733</v>
      </c>
      <c r="E38" s="12" t="s">
        <v>1679</v>
      </c>
      <c r="F38" s="12" t="s">
        <v>1680</v>
      </c>
      <c r="G38" s="31">
        <v>72</v>
      </c>
      <c r="H38" s="12" t="s">
        <v>32</v>
      </c>
      <c r="I38" s="14">
        <v>8</v>
      </c>
      <c r="J38" s="15">
        <v>0.10495963672233199</v>
      </c>
      <c r="K38" s="31">
        <f t="shared" si="1"/>
        <v>576</v>
      </c>
      <c r="L38" s="31">
        <f t="shared" si="0"/>
        <v>516</v>
      </c>
      <c r="M38" s="36">
        <f t="shared" si="2"/>
        <v>-60</v>
      </c>
    </row>
    <row r="39" spans="2:13">
      <c r="B39" s="16" t="s">
        <v>119</v>
      </c>
      <c r="C39" s="16" t="s">
        <v>1662</v>
      </c>
      <c r="D39" s="17">
        <v>44730</v>
      </c>
      <c r="E39" s="16" t="s">
        <v>1681</v>
      </c>
      <c r="F39" s="16" t="s">
        <v>1680</v>
      </c>
      <c r="G39" s="32">
        <v>65</v>
      </c>
      <c r="H39" s="16" t="s">
        <v>21</v>
      </c>
      <c r="I39" s="18">
        <v>12</v>
      </c>
      <c r="J39" s="19">
        <v>0.29377273906475598</v>
      </c>
      <c r="K39" s="32">
        <f t="shared" si="1"/>
        <v>780</v>
      </c>
      <c r="L39" s="32">
        <f t="shared" si="0"/>
        <v>551</v>
      </c>
      <c r="M39" s="37">
        <f t="shared" si="2"/>
        <v>-229</v>
      </c>
    </row>
    <row r="40" spans="2:13">
      <c r="B40" s="12" t="s">
        <v>122</v>
      </c>
      <c r="C40" s="12" t="s">
        <v>1664</v>
      </c>
      <c r="D40" s="13">
        <v>44736</v>
      </c>
      <c r="E40" s="12" t="s">
        <v>1683</v>
      </c>
      <c r="F40" s="12" t="s">
        <v>1680</v>
      </c>
      <c r="G40" s="31">
        <v>250</v>
      </c>
      <c r="H40" s="12" t="s">
        <v>26</v>
      </c>
      <c r="I40" s="14">
        <v>3</v>
      </c>
      <c r="J40" s="15">
        <v>0.56559810101924202</v>
      </c>
      <c r="K40" s="31">
        <f t="shared" si="1"/>
        <v>750</v>
      </c>
      <c r="L40" s="31">
        <f t="shared" si="0"/>
        <v>326</v>
      </c>
      <c r="M40" s="36">
        <f t="shared" si="2"/>
        <v>-424</v>
      </c>
    </row>
    <row r="41" spans="2:13">
      <c r="B41" s="16" t="s">
        <v>124</v>
      </c>
      <c r="C41" s="16" t="s">
        <v>1666</v>
      </c>
      <c r="D41" s="17">
        <v>44732</v>
      </c>
      <c r="E41" s="16" t="s">
        <v>1684</v>
      </c>
      <c r="F41" s="16" t="s">
        <v>1680</v>
      </c>
      <c r="G41" s="32">
        <v>130</v>
      </c>
      <c r="H41" s="16" t="s">
        <v>32</v>
      </c>
      <c r="I41" s="18">
        <v>3</v>
      </c>
      <c r="J41" s="19">
        <v>0.14180367825735299</v>
      </c>
      <c r="K41" s="32">
        <f t="shared" si="1"/>
        <v>390</v>
      </c>
      <c r="L41" s="32">
        <f t="shared" si="0"/>
        <v>335</v>
      </c>
      <c r="M41" s="37">
        <f t="shared" si="2"/>
        <v>-55</v>
      </c>
    </row>
    <row r="42" spans="2:13">
      <c r="B42" s="12" t="s">
        <v>126</v>
      </c>
      <c r="C42" s="12" t="s">
        <v>1668</v>
      </c>
      <c r="D42" s="13">
        <v>44732</v>
      </c>
      <c r="E42" s="12" t="s">
        <v>1685</v>
      </c>
      <c r="F42" s="12" t="s">
        <v>1682</v>
      </c>
      <c r="G42" s="31">
        <v>60</v>
      </c>
      <c r="H42" s="12" t="s">
        <v>21</v>
      </c>
      <c r="I42" s="14">
        <v>11</v>
      </c>
      <c r="J42" s="15">
        <v>0.19727585407121501</v>
      </c>
      <c r="K42" s="31">
        <f t="shared" si="1"/>
        <v>660</v>
      </c>
      <c r="L42" s="31">
        <f t="shared" si="0"/>
        <v>530</v>
      </c>
      <c r="M42" s="36">
        <f t="shared" si="2"/>
        <v>-130</v>
      </c>
    </row>
    <row r="43" spans="2:13">
      <c r="B43" s="16" t="s">
        <v>128</v>
      </c>
      <c r="C43" s="16" t="s">
        <v>1669</v>
      </c>
      <c r="D43" s="17">
        <v>44731</v>
      </c>
      <c r="E43" s="16" t="s">
        <v>1686</v>
      </c>
      <c r="F43" s="16" t="s">
        <v>1680</v>
      </c>
      <c r="G43" s="32">
        <v>95</v>
      </c>
      <c r="H43" s="16" t="s">
        <v>26</v>
      </c>
      <c r="I43" s="18">
        <v>8</v>
      </c>
      <c r="J43" s="19">
        <v>0.16026707373910801</v>
      </c>
      <c r="K43" s="32">
        <f t="shared" si="1"/>
        <v>760</v>
      </c>
      <c r="L43" s="32">
        <f t="shared" si="0"/>
        <v>638</v>
      </c>
      <c r="M43" s="37">
        <f t="shared" si="2"/>
        <v>-122</v>
      </c>
    </row>
    <row r="44" spans="2:13">
      <c r="B44" s="12" t="s">
        <v>130</v>
      </c>
      <c r="C44" s="12" t="s">
        <v>1660</v>
      </c>
      <c r="D44" s="13">
        <v>44735</v>
      </c>
      <c r="E44" s="12" t="s">
        <v>1679</v>
      </c>
      <c r="F44" s="12" t="s">
        <v>1680</v>
      </c>
      <c r="G44" s="31">
        <v>72</v>
      </c>
      <c r="H44" s="12" t="s">
        <v>32</v>
      </c>
      <c r="I44" s="14">
        <v>5</v>
      </c>
      <c r="J44" s="15">
        <v>3.67542348170177E-2</v>
      </c>
      <c r="K44" s="31">
        <f t="shared" si="1"/>
        <v>360</v>
      </c>
      <c r="L44" s="31">
        <f t="shared" si="0"/>
        <v>347</v>
      </c>
      <c r="M44" s="36">
        <f t="shared" si="2"/>
        <v>-13</v>
      </c>
    </row>
    <row r="45" spans="2:13">
      <c r="B45" s="16" t="s">
        <v>133</v>
      </c>
      <c r="C45" s="16" t="s">
        <v>1662</v>
      </c>
      <c r="D45" s="17">
        <v>44728</v>
      </c>
      <c r="E45" s="16" t="s">
        <v>1681</v>
      </c>
      <c r="F45" s="16" t="s">
        <v>1680</v>
      </c>
      <c r="G45" s="32">
        <v>65</v>
      </c>
      <c r="H45" s="16" t="s">
        <v>21</v>
      </c>
      <c r="I45" s="18">
        <v>6</v>
      </c>
      <c r="J45" s="19">
        <v>0.120474270341696</v>
      </c>
      <c r="K45" s="32">
        <f t="shared" si="1"/>
        <v>390</v>
      </c>
      <c r="L45" s="32">
        <f t="shared" si="0"/>
        <v>343</v>
      </c>
      <c r="M45" s="37">
        <f t="shared" si="2"/>
        <v>-47</v>
      </c>
    </row>
    <row r="46" spans="2:13">
      <c r="B46" s="12" t="s">
        <v>136</v>
      </c>
      <c r="C46" s="12" t="s">
        <v>1664</v>
      </c>
      <c r="D46" s="13">
        <v>44727</v>
      </c>
      <c r="E46" s="12" t="s">
        <v>1683</v>
      </c>
      <c r="F46" s="12" t="s">
        <v>1682</v>
      </c>
      <c r="G46" s="31">
        <v>250</v>
      </c>
      <c r="H46" s="12" t="s">
        <v>26</v>
      </c>
      <c r="I46" s="14">
        <v>1</v>
      </c>
      <c r="J46" s="15">
        <v>0.38636401364592998</v>
      </c>
      <c r="K46" s="31">
        <f t="shared" si="1"/>
        <v>250</v>
      </c>
      <c r="L46" s="31">
        <f t="shared" si="0"/>
        <v>153</v>
      </c>
      <c r="M46" s="36">
        <f t="shared" si="2"/>
        <v>-97</v>
      </c>
    </row>
    <row r="47" spans="2:13">
      <c r="B47" s="16" t="s">
        <v>138</v>
      </c>
      <c r="C47" s="16" t="s">
        <v>1666</v>
      </c>
      <c r="D47" s="17">
        <v>44731</v>
      </c>
      <c r="E47" s="16" t="s">
        <v>1684</v>
      </c>
      <c r="F47" s="16" t="s">
        <v>1682</v>
      </c>
      <c r="G47" s="32">
        <v>130</v>
      </c>
      <c r="H47" s="16" t="s">
        <v>32</v>
      </c>
      <c r="I47" s="18">
        <v>7</v>
      </c>
      <c r="J47" s="19">
        <v>0.25111930985495901</v>
      </c>
      <c r="K47" s="32">
        <f t="shared" si="1"/>
        <v>910</v>
      </c>
      <c r="L47" s="32">
        <f t="shared" si="0"/>
        <v>681</v>
      </c>
      <c r="M47" s="37">
        <f t="shared" si="2"/>
        <v>-229</v>
      </c>
    </row>
    <row r="48" spans="2:13">
      <c r="B48" s="12" t="s">
        <v>141</v>
      </c>
      <c r="C48" s="12" t="s">
        <v>1660</v>
      </c>
      <c r="D48" s="13">
        <v>44732</v>
      </c>
      <c r="E48" s="12" t="s">
        <v>1679</v>
      </c>
      <c r="F48" s="12" t="s">
        <v>1682</v>
      </c>
      <c r="G48" s="31">
        <v>72</v>
      </c>
      <c r="H48" s="12" t="s">
        <v>21</v>
      </c>
      <c r="I48" s="14">
        <v>7</v>
      </c>
      <c r="J48" s="15">
        <v>0.18099169049889099</v>
      </c>
      <c r="K48" s="31">
        <f t="shared" si="1"/>
        <v>504</v>
      </c>
      <c r="L48" s="31">
        <f t="shared" si="0"/>
        <v>413</v>
      </c>
      <c r="M48" s="36">
        <f t="shared" si="2"/>
        <v>-91</v>
      </c>
    </row>
    <row r="49" spans="2:13">
      <c r="B49" s="16" t="s">
        <v>144</v>
      </c>
      <c r="C49" s="16" t="s">
        <v>1662</v>
      </c>
      <c r="D49" s="17">
        <v>44738</v>
      </c>
      <c r="E49" s="16" t="s">
        <v>1681</v>
      </c>
      <c r="F49" s="16" t="s">
        <v>1682</v>
      </c>
      <c r="G49" s="32">
        <v>65</v>
      </c>
      <c r="H49" s="16" t="s">
        <v>26</v>
      </c>
      <c r="I49" s="18">
        <v>3</v>
      </c>
      <c r="J49" s="19">
        <v>0.173637863650005</v>
      </c>
      <c r="K49" s="32">
        <f t="shared" si="1"/>
        <v>195</v>
      </c>
      <c r="L49" s="32">
        <f t="shared" si="0"/>
        <v>161</v>
      </c>
      <c r="M49" s="37">
        <f t="shared" si="2"/>
        <v>-34</v>
      </c>
    </row>
    <row r="50" spans="2:13">
      <c r="B50" s="12" t="s">
        <v>147</v>
      </c>
      <c r="C50" s="12" t="s">
        <v>1664</v>
      </c>
      <c r="D50" s="13">
        <v>44730</v>
      </c>
      <c r="E50" s="12" t="s">
        <v>1683</v>
      </c>
      <c r="F50" s="12" t="s">
        <v>1682</v>
      </c>
      <c r="G50" s="31">
        <v>250</v>
      </c>
      <c r="H50" s="12" t="s">
        <v>32</v>
      </c>
      <c r="I50" s="14">
        <v>1</v>
      </c>
      <c r="J50" s="15">
        <v>0.75489814137474298</v>
      </c>
      <c r="K50" s="31">
        <f t="shared" si="1"/>
        <v>250</v>
      </c>
      <c r="L50" s="31">
        <f t="shared" si="0"/>
        <v>61</v>
      </c>
      <c r="M50" s="36">
        <f t="shared" si="2"/>
        <v>-189</v>
      </c>
    </row>
    <row r="51" spans="2:13">
      <c r="B51" s="16" t="s">
        <v>150</v>
      </c>
      <c r="C51" s="16" t="s">
        <v>1666</v>
      </c>
      <c r="D51" s="17">
        <v>44736</v>
      </c>
      <c r="E51" s="16" t="s">
        <v>1684</v>
      </c>
      <c r="F51" s="16" t="s">
        <v>1682</v>
      </c>
      <c r="G51" s="32">
        <v>130</v>
      </c>
      <c r="H51" s="16" t="s">
        <v>21</v>
      </c>
      <c r="I51" s="18">
        <v>6</v>
      </c>
      <c r="J51" s="19">
        <v>0.41826226246410803</v>
      </c>
      <c r="K51" s="32">
        <f t="shared" si="1"/>
        <v>780</v>
      </c>
      <c r="L51" s="32">
        <f t="shared" si="0"/>
        <v>454</v>
      </c>
      <c r="M51" s="37">
        <f t="shared" si="2"/>
        <v>-326</v>
      </c>
    </row>
    <row r="52" spans="2:13">
      <c r="B52" s="12" t="s">
        <v>153</v>
      </c>
      <c r="C52" s="12" t="s">
        <v>1660</v>
      </c>
      <c r="D52" s="13">
        <v>44733</v>
      </c>
      <c r="E52" s="12" t="s">
        <v>1679</v>
      </c>
      <c r="F52" s="12" t="s">
        <v>1680</v>
      </c>
      <c r="G52" s="31">
        <v>72</v>
      </c>
      <c r="H52" s="12" t="s">
        <v>21</v>
      </c>
      <c r="I52" s="14">
        <v>4</v>
      </c>
      <c r="J52" s="15">
        <v>1.3720801233135901E-2</v>
      </c>
      <c r="K52" s="31">
        <f t="shared" si="1"/>
        <v>288</v>
      </c>
      <c r="L52" s="31">
        <f t="shared" si="0"/>
        <v>284</v>
      </c>
      <c r="M52" s="36">
        <f t="shared" si="2"/>
        <v>-4</v>
      </c>
    </row>
    <row r="53" spans="2:13">
      <c r="B53" s="16" t="s">
        <v>156</v>
      </c>
      <c r="C53" s="16" t="s">
        <v>1662</v>
      </c>
      <c r="D53" s="17">
        <v>44746</v>
      </c>
      <c r="E53" s="16" t="s">
        <v>1681</v>
      </c>
      <c r="F53" s="16" t="s">
        <v>1682</v>
      </c>
      <c r="G53" s="32">
        <v>65</v>
      </c>
      <c r="H53" s="16" t="s">
        <v>26</v>
      </c>
      <c r="I53" s="18">
        <v>6</v>
      </c>
      <c r="J53" s="19">
        <v>2.2083854314921901E-2</v>
      </c>
      <c r="K53" s="32">
        <f t="shared" si="1"/>
        <v>390</v>
      </c>
      <c r="L53" s="32">
        <f t="shared" si="0"/>
        <v>381</v>
      </c>
      <c r="M53" s="37">
        <f t="shared" si="2"/>
        <v>-9</v>
      </c>
    </row>
    <row r="54" spans="2:13">
      <c r="B54" s="12" t="s">
        <v>159</v>
      </c>
      <c r="C54" s="12" t="s">
        <v>1664</v>
      </c>
      <c r="D54" s="13">
        <v>44755</v>
      </c>
      <c r="E54" s="12" t="s">
        <v>1683</v>
      </c>
      <c r="F54" s="12" t="s">
        <v>1680</v>
      </c>
      <c r="G54" s="31">
        <v>250</v>
      </c>
      <c r="H54" s="12" t="s">
        <v>32</v>
      </c>
      <c r="I54" s="14">
        <v>3</v>
      </c>
      <c r="J54" s="15">
        <v>0.92842323956324602</v>
      </c>
      <c r="K54" s="31">
        <f t="shared" si="1"/>
        <v>750</v>
      </c>
      <c r="L54" s="31">
        <f t="shared" si="0"/>
        <v>54</v>
      </c>
      <c r="M54" s="36">
        <f t="shared" si="2"/>
        <v>-696</v>
      </c>
    </row>
    <row r="55" spans="2:13">
      <c r="B55" s="16" t="s">
        <v>162</v>
      </c>
      <c r="C55" s="16" t="s">
        <v>1666</v>
      </c>
      <c r="D55" s="17">
        <v>44755</v>
      </c>
      <c r="E55" s="16" t="s">
        <v>1684</v>
      </c>
      <c r="F55" s="16" t="s">
        <v>1682</v>
      </c>
      <c r="G55" s="32">
        <v>130</v>
      </c>
      <c r="H55" s="16" t="s">
        <v>21</v>
      </c>
      <c r="I55" s="18">
        <v>2</v>
      </c>
      <c r="J55" s="19">
        <v>0.20990358910221099</v>
      </c>
      <c r="K55" s="32">
        <f t="shared" si="1"/>
        <v>260</v>
      </c>
      <c r="L55" s="32">
        <f t="shared" si="0"/>
        <v>205</v>
      </c>
      <c r="M55" s="37">
        <f t="shared" si="2"/>
        <v>-55</v>
      </c>
    </row>
    <row r="56" spans="2:13">
      <c r="B56" s="12" t="s">
        <v>165</v>
      </c>
      <c r="C56" s="12" t="s">
        <v>1660</v>
      </c>
      <c r="D56" s="13">
        <v>44727</v>
      </c>
      <c r="E56" s="12" t="s">
        <v>1679</v>
      </c>
      <c r="F56" s="12" t="s">
        <v>1680</v>
      </c>
      <c r="G56" s="31">
        <v>72</v>
      </c>
      <c r="H56" s="12" t="s">
        <v>26</v>
      </c>
      <c r="I56" s="14">
        <v>5</v>
      </c>
      <c r="J56" s="15">
        <v>0.184343159134289</v>
      </c>
      <c r="K56" s="31">
        <f t="shared" si="1"/>
        <v>360</v>
      </c>
      <c r="L56" s="31">
        <f t="shared" si="0"/>
        <v>294</v>
      </c>
      <c r="M56" s="36">
        <f t="shared" si="2"/>
        <v>-66</v>
      </c>
    </row>
    <row r="57" spans="2:13">
      <c r="B57" s="16" t="s">
        <v>167</v>
      </c>
      <c r="C57" s="16" t="s">
        <v>1662</v>
      </c>
      <c r="D57" s="17">
        <v>44746</v>
      </c>
      <c r="E57" s="16" t="s">
        <v>1681</v>
      </c>
      <c r="F57" s="16" t="s">
        <v>1682</v>
      </c>
      <c r="G57" s="32">
        <v>65</v>
      </c>
      <c r="H57" s="16" t="s">
        <v>32</v>
      </c>
      <c r="I57" s="18">
        <v>8</v>
      </c>
      <c r="J57" s="19">
        <v>0.111444290733823</v>
      </c>
      <c r="K57" s="32">
        <f t="shared" si="1"/>
        <v>520</v>
      </c>
      <c r="L57" s="32">
        <f t="shared" si="0"/>
        <v>462</v>
      </c>
      <c r="M57" s="37">
        <f t="shared" si="2"/>
        <v>-58</v>
      </c>
    </row>
    <row r="58" spans="2:13">
      <c r="B58" s="12" t="s">
        <v>169</v>
      </c>
      <c r="C58" s="12" t="s">
        <v>1664</v>
      </c>
      <c r="D58" s="13">
        <v>44740</v>
      </c>
      <c r="E58" s="12" t="s">
        <v>1683</v>
      </c>
      <c r="F58" s="12" t="s">
        <v>1680</v>
      </c>
      <c r="G58" s="31">
        <v>250</v>
      </c>
      <c r="H58" s="12" t="s">
        <v>21</v>
      </c>
      <c r="I58" s="14">
        <v>3</v>
      </c>
      <c r="J58" s="15">
        <v>0.56286929186816403</v>
      </c>
      <c r="K58" s="31">
        <f t="shared" si="1"/>
        <v>750</v>
      </c>
      <c r="L58" s="31">
        <f t="shared" si="0"/>
        <v>328</v>
      </c>
      <c r="M58" s="36">
        <f t="shared" si="2"/>
        <v>-422</v>
      </c>
    </row>
    <row r="59" spans="2:13">
      <c r="B59" s="16" t="s">
        <v>171</v>
      </c>
      <c r="C59" s="16" t="s">
        <v>1666</v>
      </c>
      <c r="D59" s="17">
        <v>44743</v>
      </c>
      <c r="E59" s="16" t="s">
        <v>1684</v>
      </c>
      <c r="F59" s="16" t="s">
        <v>1682</v>
      </c>
      <c r="G59" s="32">
        <v>130</v>
      </c>
      <c r="H59" s="16" t="s">
        <v>26</v>
      </c>
      <c r="I59" s="18">
        <v>3</v>
      </c>
      <c r="J59" s="19">
        <v>3.1389560503074197E-2</v>
      </c>
      <c r="K59" s="32">
        <f t="shared" si="1"/>
        <v>390</v>
      </c>
      <c r="L59" s="32">
        <f t="shared" si="0"/>
        <v>378</v>
      </c>
      <c r="M59" s="37">
        <f t="shared" si="2"/>
        <v>-12</v>
      </c>
    </row>
    <row r="60" spans="2:13">
      <c r="B60" s="12" t="s">
        <v>173</v>
      </c>
      <c r="C60" s="12" t="s">
        <v>1668</v>
      </c>
      <c r="D60" s="13">
        <v>44737</v>
      </c>
      <c r="E60" s="12" t="s">
        <v>1685</v>
      </c>
      <c r="F60" s="12" t="s">
        <v>1680</v>
      </c>
      <c r="G60" s="31">
        <v>60</v>
      </c>
      <c r="H60" s="12" t="s">
        <v>32</v>
      </c>
      <c r="I60" s="14">
        <v>13</v>
      </c>
      <c r="J60" s="15">
        <v>0.23798278495106201</v>
      </c>
      <c r="K60" s="31">
        <f t="shared" si="1"/>
        <v>780</v>
      </c>
      <c r="L60" s="31">
        <f t="shared" si="0"/>
        <v>594</v>
      </c>
      <c r="M60" s="36">
        <f t="shared" si="2"/>
        <v>-186</v>
      </c>
    </row>
    <row r="61" spans="2:13">
      <c r="B61" s="16" t="s">
        <v>175</v>
      </c>
      <c r="C61" s="16" t="s">
        <v>1660</v>
      </c>
      <c r="D61" s="17">
        <v>44757</v>
      </c>
      <c r="E61" s="16" t="s">
        <v>1679</v>
      </c>
      <c r="F61" s="16" t="s">
        <v>1682</v>
      </c>
      <c r="G61" s="32">
        <v>72</v>
      </c>
      <c r="H61" s="16" t="s">
        <v>21</v>
      </c>
      <c r="I61" s="18">
        <v>5</v>
      </c>
      <c r="J61" s="19">
        <v>0.19712344024473999</v>
      </c>
      <c r="K61" s="32">
        <f t="shared" si="1"/>
        <v>360</v>
      </c>
      <c r="L61" s="32">
        <f t="shared" si="0"/>
        <v>289</v>
      </c>
      <c r="M61" s="37">
        <f t="shared" si="2"/>
        <v>-71</v>
      </c>
    </row>
    <row r="62" spans="2:13">
      <c r="B62" s="12" t="s">
        <v>177</v>
      </c>
      <c r="C62" s="12" t="s">
        <v>1662</v>
      </c>
      <c r="D62" s="13">
        <v>44745</v>
      </c>
      <c r="E62" s="12" t="s">
        <v>1681</v>
      </c>
      <c r="F62" s="12" t="s">
        <v>1680</v>
      </c>
      <c r="G62" s="31">
        <v>65</v>
      </c>
      <c r="H62" s="12" t="s">
        <v>26</v>
      </c>
      <c r="I62" s="14">
        <v>7</v>
      </c>
      <c r="J62" s="15">
        <v>6.8295799738434901E-2</v>
      </c>
      <c r="K62" s="31">
        <f t="shared" si="1"/>
        <v>455</v>
      </c>
      <c r="L62" s="31">
        <f t="shared" si="0"/>
        <v>424</v>
      </c>
      <c r="M62" s="36">
        <f t="shared" si="2"/>
        <v>-31</v>
      </c>
    </row>
    <row r="63" spans="2:13">
      <c r="B63" s="16" t="s">
        <v>179</v>
      </c>
      <c r="C63" s="16" t="s">
        <v>1664</v>
      </c>
      <c r="D63" s="17">
        <v>44760</v>
      </c>
      <c r="E63" s="16" t="s">
        <v>1683</v>
      </c>
      <c r="F63" s="16" t="s">
        <v>1682</v>
      </c>
      <c r="G63" s="32">
        <v>250</v>
      </c>
      <c r="H63" s="16" t="s">
        <v>32</v>
      </c>
      <c r="I63" s="18">
        <v>3</v>
      </c>
      <c r="J63" s="19">
        <v>1.6828522965904199E-2</v>
      </c>
      <c r="K63" s="32">
        <f t="shared" si="1"/>
        <v>750</v>
      </c>
      <c r="L63" s="32">
        <f t="shared" si="0"/>
        <v>737</v>
      </c>
      <c r="M63" s="37">
        <f t="shared" si="2"/>
        <v>-13</v>
      </c>
    </row>
    <row r="64" spans="2:13">
      <c r="B64" s="12" t="s">
        <v>181</v>
      </c>
      <c r="C64" s="12" t="s">
        <v>1666</v>
      </c>
      <c r="D64" s="13">
        <v>44750</v>
      </c>
      <c r="E64" s="12" t="s">
        <v>1684</v>
      </c>
      <c r="F64" s="12" t="s">
        <v>1680</v>
      </c>
      <c r="G64" s="31">
        <v>130</v>
      </c>
      <c r="H64" s="12" t="s">
        <v>21</v>
      </c>
      <c r="I64" s="14">
        <v>6</v>
      </c>
      <c r="J64" s="15">
        <v>0.26661284065553498</v>
      </c>
      <c r="K64" s="31">
        <f t="shared" si="1"/>
        <v>780</v>
      </c>
      <c r="L64" s="31">
        <f t="shared" si="0"/>
        <v>572</v>
      </c>
      <c r="M64" s="36">
        <f t="shared" si="2"/>
        <v>-208</v>
      </c>
    </row>
    <row r="65" spans="2:13">
      <c r="B65" s="16" t="s">
        <v>183</v>
      </c>
      <c r="C65" s="16" t="s">
        <v>1660</v>
      </c>
      <c r="D65" s="17">
        <v>44742</v>
      </c>
      <c r="E65" s="16" t="s">
        <v>1679</v>
      </c>
      <c r="F65" s="16" t="s">
        <v>1682</v>
      </c>
      <c r="G65" s="32">
        <v>72</v>
      </c>
      <c r="H65" s="16" t="s">
        <v>26</v>
      </c>
      <c r="I65" s="18">
        <v>11</v>
      </c>
      <c r="J65" s="19">
        <v>0.21251347110701599</v>
      </c>
      <c r="K65" s="32">
        <f t="shared" si="1"/>
        <v>792</v>
      </c>
      <c r="L65" s="32">
        <f t="shared" si="0"/>
        <v>624</v>
      </c>
      <c r="M65" s="37">
        <f t="shared" si="2"/>
        <v>-168</v>
      </c>
    </row>
    <row r="66" spans="2:13">
      <c r="B66" s="12" t="s">
        <v>186</v>
      </c>
      <c r="C66" s="12" t="s">
        <v>1662</v>
      </c>
      <c r="D66" s="13">
        <v>44754</v>
      </c>
      <c r="E66" s="12" t="s">
        <v>1681</v>
      </c>
      <c r="F66" s="12" t="s">
        <v>1680</v>
      </c>
      <c r="G66" s="31">
        <v>65</v>
      </c>
      <c r="H66" s="12" t="s">
        <v>32</v>
      </c>
      <c r="I66" s="14">
        <v>12</v>
      </c>
      <c r="J66" s="15">
        <v>0.109942576614138</v>
      </c>
      <c r="K66" s="31">
        <f t="shared" si="1"/>
        <v>780</v>
      </c>
      <c r="L66" s="31">
        <f t="shared" si="0"/>
        <v>694</v>
      </c>
      <c r="M66" s="36">
        <f t="shared" si="2"/>
        <v>-86</v>
      </c>
    </row>
    <row r="67" spans="2:13">
      <c r="B67" s="16" t="s">
        <v>188</v>
      </c>
      <c r="C67" s="16" t="s">
        <v>1664</v>
      </c>
      <c r="D67" s="17">
        <v>44746</v>
      </c>
      <c r="E67" s="16" t="s">
        <v>1683</v>
      </c>
      <c r="F67" s="16" t="s">
        <v>1682</v>
      </c>
      <c r="G67" s="32">
        <v>250</v>
      </c>
      <c r="H67" s="16" t="s">
        <v>21</v>
      </c>
      <c r="I67" s="18">
        <v>2</v>
      </c>
      <c r="J67" s="19">
        <v>0.53607498908607099</v>
      </c>
      <c r="K67" s="32">
        <f t="shared" si="1"/>
        <v>500</v>
      </c>
      <c r="L67" s="32">
        <f t="shared" si="0"/>
        <v>232</v>
      </c>
      <c r="M67" s="37">
        <f t="shared" si="2"/>
        <v>-268</v>
      </c>
    </row>
    <row r="68" spans="2:13">
      <c r="B68" s="12" t="s">
        <v>190</v>
      </c>
      <c r="C68" s="12" t="s">
        <v>1666</v>
      </c>
      <c r="D68" s="13">
        <v>44752</v>
      </c>
      <c r="E68" s="12" t="s">
        <v>1684</v>
      </c>
      <c r="F68" s="12" t="s">
        <v>1680</v>
      </c>
      <c r="G68" s="31">
        <v>130</v>
      </c>
      <c r="H68" s="12" t="s">
        <v>26</v>
      </c>
      <c r="I68" s="14">
        <v>6</v>
      </c>
      <c r="J68" s="15">
        <v>3.7515550327758003E-2</v>
      </c>
      <c r="K68" s="31">
        <f t="shared" si="1"/>
        <v>780</v>
      </c>
      <c r="L68" s="31">
        <f t="shared" si="0"/>
        <v>751</v>
      </c>
      <c r="M68" s="36">
        <f t="shared" si="2"/>
        <v>-29</v>
      </c>
    </row>
    <row r="69" spans="2:13">
      <c r="B69" s="16" t="s">
        <v>192</v>
      </c>
      <c r="C69" s="16" t="s">
        <v>1668</v>
      </c>
      <c r="D69" s="17">
        <v>44725</v>
      </c>
      <c r="E69" s="16" t="s">
        <v>1685</v>
      </c>
      <c r="F69" s="16" t="s">
        <v>1680</v>
      </c>
      <c r="G69" s="32">
        <v>60</v>
      </c>
      <c r="H69" s="16" t="s">
        <v>32</v>
      </c>
      <c r="I69" s="18">
        <v>15</v>
      </c>
      <c r="J69" s="19">
        <v>2.4938289886663099E-2</v>
      </c>
      <c r="K69" s="32">
        <f t="shared" si="1"/>
        <v>900</v>
      </c>
      <c r="L69" s="32">
        <f t="shared" si="0"/>
        <v>878</v>
      </c>
      <c r="M69" s="37">
        <f t="shared" si="2"/>
        <v>-22</v>
      </c>
    </row>
    <row r="70" spans="2:13">
      <c r="B70" s="12" t="s">
        <v>194</v>
      </c>
      <c r="C70" s="12" t="s">
        <v>1669</v>
      </c>
      <c r="D70" s="13">
        <v>44734</v>
      </c>
      <c r="E70" s="12" t="s">
        <v>1686</v>
      </c>
      <c r="F70" s="12" t="s">
        <v>1682</v>
      </c>
      <c r="G70" s="31">
        <v>95</v>
      </c>
      <c r="H70" s="12" t="s">
        <v>21</v>
      </c>
      <c r="I70" s="14">
        <v>9</v>
      </c>
      <c r="J70" s="15">
        <v>1.0123391970414199E-2</v>
      </c>
      <c r="K70" s="31">
        <f t="shared" ref="K70:K133" si="3">PRODUCT(I70,G70)</f>
        <v>855</v>
      </c>
      <c r="L70" s="31">
        <f t="shared" ref="L70:L133" si="4">ROUND(K70*(1-J70),0)</f>
        <v>846</v>
      </c>
      <c r="M70" s="36">
        <f t="shared" si="2"/>
        <v>-9</v>
      </c>
    </row>
    <row r="71" spans="2:13">
      <c r="B71" s="16" t="s">
        <v>196</v>
      </c>
      <c r="C71" s="16" t="s">
        <v>1660</v>
      </c>
      <c r="D71" s="17">
        <v>44761</v>
      </c>
      <c r="E71" s="16" t="s">
        <v>1679</v>
      </c>
      <c r="F71" s="16" t="s">
        <v>1682</v>
      </c>
      <c r="G71" s="32">
        <v>72</v>
      </c>
      <c r="H71" s="16" t="s">
        <v>26</v>
      </c>
      <c r="I71" s="18">
        <v>12</v>
      </c>
      <c r="J71" s="19">
        <v>0.13088693663791401</v>
      </c>
      <c r="K71" s="32">
        <f t="shared" si="3"/>
        <v>864</v>
      </c>
      <c r="L71" s="32">
        <f t="shared" si="4"/>
        <v>751</v>
      </c>
      <c r="M71" s="37">
        <f t="shared" ref="M71:M134" si="5">ROUND(L71-K71,0)</f>
        <v>-113</v>
      </c>
    </row>
    <row r="72" spans="2:13">
      <c r="B72" s="12" t="s">
        <v>198</v>
      </c>
      <c r="C72" s="12" t="s">
        <v>1662</v>
      </c>
      <c r="D72" s="13">
        <v>44735</v>
      </c>
      <c r="E72" s="12" t="s">
        <v>1681</v>
      </c>
      <c r="F72" s="12" t="s">
        <v>1682</v>
      </c>
      <c r="G72" s="31">
        <v>65</v>
      </c>
      <c r="H72" s="12" t="s">
        <v>32</v>
      </c>
      <c r="I72" s="14">
        <v>7</v>
      </c>
      <c r="J72" s="15">
        <v>6.6961969492996501E-2</v>
      </c>
      <c r="K72" s="31">
        <f t="shared" si="3"/>
        <v>455</v>
      </c>
      <c r="L72" s="31">
        <f t="shared" si="4"/>
        <v>425</v>
      </c>
      <c r="M72" s="36">
        <f t="shared" si="5"/>
        <v>-30</v>
      </c>
    </row>
    <row r="73" spans="2:13">
      <c r="B73" s="16" t="s">
        <v>200</v>
      </c>
      <c r="C73" s="16" t="s">
        <v>1664</v>
      </c>
      <c r="D73" s="17">
        <v>44753</v>
      </c>
      <c r="E73" s="16" t="s">
        <v>1683</v>
      </c>
      <c r="F73" s="16" t="s">
        <v>1680</v>
      </c>
      <c r="G73" s="32">
        <v>250</v>
      </c>
      <c r="H73" s="16" t="s">
        <v>21</v>
      </c>
      <c r="I73" s="18">
        <v>3</v>
      </c>
      <c r="J73" s="19">
        <v>0.36350761794645797</v>
      </c>
      <c r="K73" s="32">
        <f t="shared" si="3"/>
        <v>750</v>
      </c>
      <c r="L73" s="32">
        <f t="shared" si="4"/>
        <v>477</v>
      </c>
      <c r="M73" s="37">
        <f t="shared" si="5"/>
        <v>-273</v>
      </c>
    </row>
    <row r="74" spans="2:13">
      <c r="B74" s="12" t="s">
        <v>202</v>
      </c>
      <c r="C74" s="12" t="s">
        <v>1666</v>
      </c>
      <c r="D74" s="13">
        <v>44732</v>
      </c>
      <c r="E74" s="12" t="s">
        <v>1684</v>
      </c>
      <c r="F74" s="12" t="s">
        <v>1680</v>
      </c>
      <c r="G74" s="31">
        <v>130</v>
      </c>
      <c r="H74" s="12" t="s">
        <v>26</v>
      </c>
      <c r="I74" s="14">
        <v>6</v>
      </c>
      <c r="J74" s="15">
        <v>0.30841415491993102</v>
      </c>
      <c r="K74" s="31">
        <f t="shared" si="3"/>
        <v>780</v>
      </c>
      <c r="L74" s="31">
        <f t="shared" si="4"/>
        <v>539</v>
      </c>
      <c r="M74" s="36">
        <f t="shared" si="5"/>
        <v>-241</v>
      </c>
    </row>
    <row r="75" spans="2:13">
      <c r="B75" s="16" t="s">
        <v>204</v>
      </c>
      <c r="C75" s="16" t="s">
        <v>1660</v>
      </c>
      <c r="D75" s="17">
        <v>44748</v>
      </c>
      <c r="E75" s="16" t="s">
        <v>1679</v>
      </c>
      <c r="F75" s="16" t="s">
        <v>1680</v>
      </c>
      <c r="G75" s="32">
        <v>72</v>
      </c>
      <c r="H75" s="16" t="s">
        <v>32</v>
      </c>
      <c r="I75" s="18">
        <v>9</v>
      </c>
      <c r="J75" s="19">
        <v>0.21287301321989599</v>
      </c>
      <c r="K75" s="32">
        <f t="shared" si="3"/>
        <v>648</v>
      </c>
      <c r="L75" s="32">
        <f t="shared" si="4"/>
        <v>510</v>
      </c>
      <c r="M75" s="37">
        <f t="shared" si="5"/>
        <v>-138</v>
      </c>
    </row>
    <row r="76" spans="2:13">
      <c r="B76" s="12" t="s">
        <v>206</v>
      </c>
      <c r="C76" s="12" t="s">
        <v>1662</v>
      </c>
      <c r="D76" s="13">
        <v>44731</v>
      </c>
      <c r="E76" s="12" t="s">
        <v>1681</v>
      </c>
      <c r="F76" s="12" t="s">
        <v>1680</v>
      </c>
      <c r="G76" s="31">
        <v>65</v>
      </c>
      <c r="H76" s="12" t="s">
        <v>21</v>
      </c>
      <c r="I76" s="14">
        <v>4</v>
      </c>
      <c r="J76" s="15">
        <v>0.11047742601795101</v>
      </c>
      <c r="K76" s="31">
        <f t="shared" si="3"/>
        <v>260</v>
      </c>
      <c r="L76" s="31">
        <f t="shared" si="4"/>
        <v>231</v>
      </c>
      <c r="M76" s="36">
        <f t="shared" si="5"/>
        <v>-29</v>
      </c>
    </row>
    <row r="77" spans="2:13">
      <c r="B77" s="16" t="s">
        <v>208</v>
      </c>
      <c r="C77" s="16" t="s">
        <v>1664</v>
      </c>
      <c r="D77" s="17">
        <v>44725</v>
      </c>
      <c r="E77" s="16" t="s">
        <v>1683</v>
      </c>
      <c r="F77" s="16" t="s">
        <v>1680</v>
      </c>
      <c r="G77" s="32">
        <v>250</v>
      </c>
      <c r="H77" s="16" t="s">
        <v>26</v>
      </c>
      <c r="I77" s="18">
        <v>2</v>
      </c>
      <c r="J77" s="19">
        <v>4.8799156151631197E-2</v>
      </c>
      <c r="K77" s="32">
        <f t="shared" si="3"/>
        <v>500</v>
      </c>
      <c r="L77" s="32">
        <f t="shared" si="4"/>
        <v>476</v>
      </c>
      <c r="M77" s="37">
        <f t="shared" si="5"/>
        <v>-24</v>
      </c>
    </row>
    <row r="78" spans="2:13">
      <c r="B78" s="12" t="s">
        <v>210</v>
      </c>
      <c r="C78" s="12" t="s">
        <v>1666</v>
      </c>
      <c r="D78" s="13">
        <v>44753</v>
      </c>
      <c r="E78" s="12" t="s">
        <v>1684</v>
      </c>
      <c r="F78" s="12" t="s">
        <v>1680</v>
      </c>
      <c r="G78" s="31">
        <v>130</v>
      </c>
      <c r="H78" s="12" t="s">
        <v>32</v>
      </c>
      <c r="I78" s="14">
        <v>6</v>
      </c>
      <c r="J78" s="15">
        <v>0.27879506176921398</v>
      </c>
      <c r="K78" s="31">
        <f t="shared" si="3"/>
        <v>780</v>
      </c>
      <c r="L78" s="31">
        <f t="shared" si="4"/>
        <v>563</v>
      </c>
      <c r="M78" s="36">
        <f t="shared" si="5"/>
        <v>-217</v>
      </c>
    </row>
    <row r="79" spans="2:13">
      <c r="B79" s="16" t="s">
        <v>212</v>
      </c>
      <c r="C79" s="16" t="s">
        <v>1668</v>
      </c>
      <c r="D79" s="17">
        <v>44738</v>
      </c>
      <c r="E79" s="16" t="s">
        <v>1685</v>
      </c>
      <c r="F79" s="16" t="s">
        <v>1680</v>
      </c>
      <c r="G79" s="32">
        <v>60</v>
      </c>
      <c r="H79" s="16" t="s">
        <v>21</v>
      </c>
      <c r="I79" s="18">
        <v>9</v>
      </c>
      <c r="J79" s="19">
        <v>7.6045534046593005E-2</v>
      </c>
      <c r="K79" s="32">
        <f t="shared" si="3"/>
        <v>540</v>
      </c>
      <c r="L79" s="32">
        <f t="shared" si="4"/>
        <v>499</v>
      </c>
      <c r="M79" s="37">
        <f t="shared" si="5"/>
        <v>-41</v>
      </c>
    </row>
    <row r="80" spans="2:13">
      <c r="B80" s="12" t="s">
        <v>214</v>
      </c>
      <c r="C80" s="12" t="s">
        <v>1660</v>
      </c>
      <c r="D80" s="13">
        <v>44762</v>
      </c>
      <c r="E80" s="12" t="s">
        <v>1679</v>
      </c>
      <c r="F80" s="12" t="s">
        <v>1680</v>
      </c>
      <c r="G80" s="31">
        <v>72</v>
      </c>
      <c r="H80" s="12" t="s">
        <v>26</v>
      </c>
      <c r="I80" s="14">
        <v>11</v>
      </c>
      <c r="J80" s="15">
        <v>0.120557627547403</v>
      </c>
      <c r="K80" s="31">
        <f t="shared" si="3"/>
        <v>792</v>
      </c>
      <c r="L80" s="31">
        <f t="shared" si="4"/>
        <v>697</v>
      </c>
      <c r="M80" s="36">
        <f t="shared" si="5"/>
        <v>-95</v>
      </c>
    </row>
    <row r="81" spans="2:13">
      <c r="B81" s="16" t="s">
        <v>216</v>
      </c>
      <c r="C81" s="16" t="s">
        <v>1662</v>
      </c>
      <c r="D81" s="17">
        <v>44756</v>
      </c>
      <c r="E81" s="16" t="s">
        <v>1681</v>
      </c>
      <c r="F81" s="16" t="s">
        <v>1680</v>
      </c>
      <c r="G81" s="32">
        <v>65</v>
      </c>
      <c r="H81" s="16" t="s">
        <v>32</v>
      </c>
      <c r="I81" s="18">
        <v>13</v>
      </c>
      <c r="J81" s="19">
        <v>0.30283946337780598</v>
      </c>
      <c r="K81" s="32">
        <f t="shared" si="3"/>
        <v>845</v>
      </c>
      <c r="L81" s="32">
        <f t="shared" si="4"/>
        <v>589</v>
      </c>
      <c r="M81" s="37">
        <f t="shared" si="5"/>
        <v>-256</v>
      </c>
    </row>
    <row r="82" spans="2:13">
      <c r="B82" s="12" t="s">
        <v>218</v>
      </c>
      <c r="C82" s="12" t="s">
        <v>1664</v>
      </c>
      <c r="D82" s="13">
        <v>44744</v>
      </c>
      <c r="E82" s="12" t="s">
        <v>1683</v>
      </c>
      <c r="F82" s="12" t="s">
        <v>1682</v>
      </c>
      <c r="G82" s="31">
        <v>250</v>
      </c>
      <c r="H82" s="12" t="s">
        <v>21</v>
      </c>
      <c r="I82" s="14">
        <v>2</v>
      </c>
      <c r="J82" s="15">
        <v>0.414018298732583</v>
      </c>
      <c r="K82" s="31">
        <f t="shared" si="3"/>
        <v>500</v>
      </c>
      <c r="L82" s="31">
        <f t="shared" si="4"/>
        <v>293</v>
      </c>
      <c r="M82" s="36">
        <f t="shared" si="5"/>
        <v>-207</v>
      </c>
    </row>
    <row r="83" spans="2:13">
      <c r="B83" s="16" t="s">
        <v>220</v>
      </c>
      <c r="C83" s="16" t="s">
        <v>1666</v>
      </c>
      <c r="D83" s="17">
        <v>44753</v>
      </c>
      <c r="E83" s="16" t="s">
        <v>1684</v>
      </c>
      <c r="F83" s="16" t="s">
        <v>1680</v>
      </c>
      <c r="G83" s="32">
        <v>130</v>
      </c>
      <c r="H83" s="16" t="s">
        <v>26</v>
      </c>
      <c r="I83" s="18">
        <v>6</v>
      </c>
      <c r="J83" s="19">
        <v>6.1603660271292299E-3</v>
      </c>
      <c r="K83" s="32">
        <f t="shared" si="3"/>
        <v>780</v>
      </c>
      <c r="L83" s="32">
        <f t="shared" si="4"/>
        <v>775</v>
      </c>
      <c r="M83" s="37">
        <f t="shared" si="5"/>
        <v>-5</v>
      </c>
    </row>
    <row r="84" spans="2:13">
      <c r="B84" s="12" t="s">
        <v>222</v>
      </c>
      <c r="C84" s="12" t="s">
        <v>1660</v>
      </c>
      <c r="D84" s="13">
        <v>44762</v>
      </c>
      <c r="E84" s="12" t="s">
        <v>1679</v>
      </c>
      <c r="F84" s="12" t="s">
        <v>1680</v>
      </c>
      <c r="G84" s="31">
        <v>72</v>
      </c>
      <c r="H84" s="12" t="s">
        <v>32</v>
      </c>
      <c r="I84" s="14">
        <v>12</v>
      </c>
      <c r="J84" s="15">
        <v>0.10495963672233199</v>
      </c>
      <c r="K84" s="31">
        <f t="shared" si="3"/>
        <v>864</v>
      </c>
      <c r="L84" s="31">
        <f t="shared" si="4"/>
        <v>773</v>
      </c>
      <c r="M84" s="36">
        <f t="shared" si="5"/>
        <v>-91</v>
      </c>
    </row>
    <row r="85" spans="2:13">
      <c r="B85" s="16" t="s">
        <v>224</v>
      </c>
      <c r="C85" s="16" t="s">
        <v>1662</v>
      </c>
      <c r="D85" s="17">
        <v>44740</v>
      </c>
      <c r="E85" s="16" t="s">
        <v>1681</v>
      </c>
      <c r="F85" s="16" t="s">
        <v>1680</v>
      </c>
      <c r="G85" s="32">
        <v>65</v>
      </c>
      <c r="H85" s="16" t="s">
        <v>21</v>
      </c>
      <c r="I85" s="18">
        <v>11</v>
      </c>
      <c r="J85" s="19">
        <v>0.29377273906475598</v>
      </c>
      <c r="K85" s="32">
        <f t="shared" si="3"/>
        <v>715</v>
      </c>
      <c r="L85" s="32">
        <f t="shared" si="4"/>
        <v>505</v>
      </c>
      <c r="M85" s="37">
        <f t="shared" si="5"/>
        <v>-210</v>
      </c>
    </row>
    <row r="86" spans="2:13">
      <c r="B86" s="12" t="s">
        <v>226</v>
      </c>
      <c r="C86" s="12" t="s">
        <v>1664</v>
      </c>
      <c r="D86" s="13">
        <v>44729</v>
      </c>
      <c r="E86" s="12" t="s">
        <v>1683</v>
      </c>
      <c r="F86" s="12" t="s">
        <v>1680</v>
      </c>
      <c r="G86" s="31">
        <v>250</v>
      </c>
      <c r="H86" s="12" t="s">
        <v>26</v>
      </c>
      <c r="I86" s="14">
        <v>3</v>
      </c>
      <c r="J86" s="15">
        <v>0.56559810101924202</v>
      </c>
      <c r="K86" s="31">
        <f t="shared" si="3"/>
        <v>750</v>
      </c>
      <c r="L86" s="31">
        <f t="shared" si="4"/>
        <v>326</v>
      </c>
      <c r="M86" s="36">
        <f t="shared" si="5"/>
        <v>-424</v>
      </c>
    </row>
    <row r="87" spans="2:13">
      <c r="B87" s="16" t="s">
        <v>228</v>
      </c>
      <c r="C87" s="16" t="s">
        <v>1666</v>
      </c>
      <c r="D87" s="17">
        <v>44727</v>
      </c>
      <c r="E87" s="16" t="s">
        <v>1684</v>
      </c>
      <c r="F87" s="16" t="s">
        <v>1680</v>
      </c>
      <c r="G87" s="32">
        <v>130</v>
      </c>
      <c r="H87" s="16" t="s">
        <v>32</v>
      </c>
      <c r="I87" s="18">
        <v>4</v>
      </c>
      <c r="J87" s="19">
        <v>0.14180367825735299</v>
      </c>
      <c r="K87" s="32">
        <f t="shared" si="3"/>
        <v>520</v>
      </c>
      <c r="L87" s="32">
        <f t="shared" si="4"/>
        <v>446</v>
      </c>
      <c r="M87" s="37">
        <f t="shared" si="5"/>
        <v>-74</v>
      </c>
    </row>
    <row r="88" spans="2:13">
      <c r="B88" s="12" t="s">
        <v>230</v>
      </c>
      <c r="C88" s="12" t="s">
        <v>1668</v>
      </c>
      <c r="D88" s="13">
        <v>44734</v>
      </c>
      <c r="E88" s="12" t="s">
        <v>1685</v>
      </c>
      <c r="F88" s="12" t="s">
        <v>1682</v>
      </c>
      <c r="G88" s="31">
        <v>60</v>
      </c>
      <c r="H88" s="12" t="s">
        <v>21</v>
      </c>
      <c r="I88" s="14">
        <v>14</v>
      </c>
      <c r="J88" s="15">
        <v>0.19727585407121501</v>
      </c>
      <c r="K88" s="31">
        <f t="shared" si="3"/>
        <v>840</v>
      </c>
      <c r="L88" s="31">
        <f t="shared" si="4"/>
        <v>674</v>
      </c>
      <c r="M88" s="36">
        <f t="shared" si="5"/>
        <v>-166</v>
      </c>
    </row>
    <row r="89" spans="2:13">
      <c r="B89" s="16" t="s">
        <v>232</v>
      </c>
      <c r="C89" s="16" t="s">
        <v>1669</v>
      </c>
      <c r="D89" s="17">
        <v>44744</v>
      </c>
      <c r="E89" s="16" t="s">
        <v>1686</v>
      </c>
      <c r="F89" s="16" t="s">
        <v>1680</v>
      </c>
      <c r="G89" s="32">
        <v>95</v>
      </c>
      <c r="H89" s="16" t="s">
        <v>26</v>
      </c>
      <c r="I89" s="18">
        <v>2</v>
      </c>
      <c r="J89" s="19">
        <v>0.16026707373910801</v>
      </c>
      <c r="K89" s="32">
        <f t="shared" si="3"/>
        <v>190</v>
      </c>
      <c r="L89" s="32">
        <f t="shared" si="4"/>
        <v>160</v>
      </c>
      <c r="M89" s="37">
        <f t="shared" si="5"/>
        <v>-30</v>
      </c>
    </row>
    <row r="90" spans="2:13">
      <c r="B90" s="12" t="s">
        <v>234</v>
      </c>
      <c r="C90" s="12" t="s">
        <v>1660</v>
      </c>
      <c r="D90" s="13">
        <v>44737</v>
      </c>
      <c r="E90" s="12" t="s">
        <v>1679</v>
      </c>
      <c r="F90" s="12" t="s">
        <v>1680</v>
      </c>
      <c r="G90" s="31">
        <v>72</v>
      </c>
      <c r="H90" s="12" t="s">
        <v>32</v>
      </c>
      <c r="I90" s="14">
        <v>4</v>
      </c>
      <c r="J90" s="15">
        <v>3.67542348170177E-2</v>
      </c>
      <c r="K90" s="31">
        <f t="shared" si="3"/>
        <v>288</v>
      </c>
      <c r="L90" s="31">
        <f t="shared" si="4"/>
        <v>277</v>
      </c>
      <c r="M90" s="36">
        <f t="shared" si="5"/>
        <v>-11</v>
      </c>
    </row>
    <row r="91" spans="2:13">
      <c r="B91" s="16" t="s">
        <v>236</v>
      </c>
      <c r="C91" s="16" t="s">
        <v>1662</v>
      </c>
      <c r="D91" s="17">
        <v>44752</v>
      </c>
      <c r="E91" s="16" t="s">
        <v>1681</v>
      </c>
      <c r="F91" s="16" t="s">
        <v>1680</v>
      </c>
      <c r="G91" s="32">
        <v>65</v>
      </c>
      <c r="H91" s="16" t="s">
        <v>21</v>
      </c>
      <c r="I91" s="18">
        <v>6</v>
      </c>
      <c r="J91" s="19">
        <v>0.120474270341696</v>
      </c>
      <c r="K91" s="32">
        <f t="shared" si="3"/>
        <v>390</v>
      </c>
      <c r="L91" s="32">
        <f t="shared" si="4"/>
        <v>343</v>
      </c>
      <c r="M91" s="37">
        <f t="shared" si="5"/>
        <v>-47</v>
      </c>
    </row>
    <row r="92" spans="2:13">
      <c r="B92" s="12" t="s">
        <v>238</v>
      </c>
      <c r="C92" s="12" t="s">
        <v>1664</v>
      </c>
      <c r="D92" s="13">
        <v>44736</v>
      </c>
      <c r="E92" s="12" t="s">
        <v>1683</v>
      </c>
      <c r="F92" s="12" t="s">
        <v>1682</v>
      </c>
      <c r="G92" s="31">
        <v>250</v>
      </c>
      <c r="H92" s="12" t="s">
        <v>26</v>
      </c>
      <c r="I92" s="14">
        <v>2</v>
      </c>
      <c r="J92" s="15">
        <v>0.38636401364592998</v>
      </c>
      <c r="K92" s="31">
        <f t="shared" si="3"/>
        <v>500</v>
      </c>
      <c r="L92" s="31">
        <f t="shared" si="4"/>
        <v>307</v>
      </c>
      <c r="M92" s="36">
        <f t="shared" si="5"/>
        <v>-193</v>
      </c>
    </row>
    <row r="93" spans="2:13">
      <c r="B93" s="16" t="s">
        <v>240</v>
      </c>
      <c r="C93" s="16" t="s">
        <v>1666</v>
      </c>
      <c r="D93" s="17">
        <v>44752</v>
      </c>
      <c r="E93" s="16" t="s">
        <v>1684</v>
      </c>
      <c r="F93" s="16" t="s">
        <v>1682</v>
      </c>
      <c r="G93" s="32">
        <v>130</v>
      </c>
      <c r="H93" s="16" t="s">
        <v>32</v>
      </c>
      <c r="I93" s="18">
        <v>5</v>
      </c>
      <c r="J93" s="19">
        <v>0.25111930985495901</v>
      </c>
      <c r="K93" s="32">
        <f t="shared" si="3"/>
        <v>650</v>
      </c>
      <c r="L93" s="32">
        <f t="shared" si="4"/>
        <v>487</v>
      </c>
      <c r="M93" s="37">
        <f t="shared" si="5"/>
        <v>-163</v>
      </c>
    </row>
    <row r="94" spans="2:13">
      <c r="B94" s="12" t="s">
        <v>242</v>
      </c>
      <c r="C94" s="12" t="s">
        <v>1660</v>
      </c>
      <c r="D94" s="13">
        <v>44759</v>
      </c>
      <c r="E94" s="12" t="s">
        <v>1679</v>
      </c>
      <c r="F94" s="12" t="s">
        <v>1682</v>
      </c>
      <c r="G94" s="31">
        <v>72</v>
      </c>
      <c r="H94" s="12" t="s">
        <v>21</v>
      </c>
      <c r="I94" s="14">
        <v>6</v>
      </c>
      <c r="J94" s="15">
        <v>0.18099169049889099</v>
      </c>
      <c r="K94" s="31">
        <f t="shared" si="3"/>
        <v>432</v>
      </c>
      <c r="L94" s="31">
        <f t="shared" si="4"/>
        <v>354</v>
      </c>
      <c r="M94" s="36">
        <f t="shared" si="5"/>
        <v>-78</v>
      </c>
    </row>
    <row r="95" spans="2:13">
      <c r="B95" s="16" t="s">
        <v>244</v>
      </c>
      <c r="C95" s="16" t="s">
        <v>1662</v>
      </c>
      <c r="D95" s="17">
        <v>44763</v>
      </c>
      <c r="E95" s="16" t="s">
        <v>1681</v>
      </c>
      <c r="F95" s="16" t="s">
        <v>1682</v>
      </c>
      <c r="G95" s="32">
        <v>65</v>
      </c>
      <c r="H95" s="16" t="s">
        <v>26</v>
      </c>
      <c r="I95" s="18">
        <v>6</v>
      </c>
      <c r="J95" s="19">
        <v>0.173637863650005</v>
      </c>
      <c r="K95" s="32">
        <f t="shared" si="3"/>
        <v>390</v>
      </c>
      <c r="L95" s="32">
        <f t="shared" si="4"/>
        <v>322</v>
      </c>
      <c r="M95" s="37">
        <f t="shared" si="5"/>
        <v>-68</v>
      </c>
    </row>
    <row r="96" spans="2:13">
      <c r="B96" s="12" t="s">
        <v>246</v>
      </c>
      <c r="C96" s="12" t="s">
        <v>1664</v>
      </c>
      <c r="D96" s="13">
        <v>44763</v>
      </c>
      <c r="E96" s="12" t="s">
        <v>1683</v>
      </c>
      <c r="F96" s="12" t="s">
        <v>1682</v>
      </c>
      <c r="G96" s="31">
        <v>250</v>
      </c>
      <c r="H96" s="12" t="s">
        <v>32</v>
      </c>
      <c r="I96" s="14">
        <v>3</v>
      </c>
      <c r="J96" s="15">
        <v>0.75489814137474298</v>
      </c>
      <c r="K96" s="31">
        <f t="shared" si="3"/>
        <v>750</v>
      </c>
      <c r="L96" s="31">
        <f t="shared" si="4"/>
        <v>184</v>
      </c>
      <c r="M96" s="36">
        <f t="shared" si="5"/>
        <v>-566</v>
      </c>
    </row>
    <row r="97" spans="2:13">
      <c r="B97" s="16" t="s">
        <v>248</v>
      </c>
      <c r="C97" s="16" t="s">
        <v>1666</v>
      </c>
      <c r="D97" s="17">
        <v>44750</v>
      </c>
      <c r="E97" s="16" t="s">
        <v>1684</v>
      </c>
      <c r="F97" s="16" t="s">
        <v>1682</v>
      </c>
      <c r="G97" s="32">
        <v>130</v>
      </c>
      <c r="H97" s="16" t="s">
        <v>21</v>
      </c>
      <c r="I97" s="18">
        <v>4</v>
      </c>
      <c r="J97" s="19">
        <v>0.41826226246410803</v>
      </c>
      <c r="K97" s="32">
        <f t="shared" si="3"/>
        <v>520</v>
      </c>
      <c r="L97" s="32">
        <f t="shared" si="4"/>
        <v>303</v>
      </c>
      <c r="M97" s="37">
        <f t="shared" si="5"/>
        <v>-217</v>
      </c>
    </row>
    <row r="98" spans="2:13">
      <c r="B98" s="12" t="s">
        <v>250</v>
      </c>
      <c r="C98" s="12" t="s">
        <v>1660</v>
      </c>
      <c r="D98" s="13">
        <v>44751</v>
      </c>
      <c r="E98" s="12" t="s">
        <v>1679</v>
      </c>
      <c r="F98" s="12" t="s">
        <v>1680</v>
      </c>
      <c r="G98" s="31">
        <v>72</v>
      </c>
      <c r="H98" s="12" t="s">
        <v>21</v>
      </c>
      <c r="I98" s="14">
        <v>11</v>
      </c>
      <c r="J98" s="15">
        <v>0.521835125908508</v>
      </c>
      <c r="K98" s="31">
        <f t="shared" si="3"/>
        <v>792</v>
      </c>
      <c r="L98" s="31">
        <f t="shared" si="4"/>
        <v>379</v>
      </c>
      <c r="M98" s="36">
        <f t="shared" si="5"/>
        <v>-413</v>
      </c>
    </row>
    <row r="99" spans="2:13">
      <c r="B99" s="16" t="s">
        <v>252</v>
      </c>
      <c r="C99" s="16" t="s">
        <v>1662</v>
      </c>
      <c r="D99" s="17">
        <v>44736</v>
      </c>
      <c r="E99" s="16" t="s">
        <v>1681</v>
      </c>
      <c r="F99" s="16" t="s">
        <v>1682</v>
      </c>
      <c r="G99" s="32">
        <v>65</v>
      </c>
      <c r="H99" s="16" t="s">
        <v>26</v>
      </c>
      <c r="I99" s="18">
        <v>12</v>
      </c>
      <c r="J99" s="19">
        <v>0.44072649836078998</v>
      </c>
      <c r="K99" s="32">
        <f t="shared" si="3"/>
        <v>780</v>
      </c>
      <c r="L99" s="32">
        <f t="shared" si="4"/>
        <v>436</v>
      </c>
      <c r="M99" s="37">
        <f t="shared" si="5"/>
        <v>-344</v>
      </c>
    </row>
    <row r="100" spans="2:13">
      <c r="B100" s="12" t="s">
        <v>254</v>
      </c>
      <c r="C100" s="12" t="s">
        <v>1664</v>
      </c>
      <c r="D100" s="13">
        <v>44737</v>
      </c>
      <c r="E100" s="12" t="s">
        <v>1683</v>
      </c>
      <c r="F100" s="12" t="s">
        <v>1680</v>
      </c>
      <c r="G100" s="31">
        <v>250</v>
      </c>
      <c r="H100" s="12" t="s">
        <v>32</v>
      </c>
      <c r="I100" s="14">
        <v>3</v>
      </c>
      <c r="J100" s="15">
        <v>0.301237691320284</v>
      </c>
      <c r="K100" s="31">
        <f t="shared" si="3"/>
        <v>750</v>
      </c>
      <c r="L100" s="31">
        <f t="shared" si="4"/>
        <v>524</v>
      </c>
      <c r="M100" s="36">
        <f t="shared" si="5"/>
        <v>-226</v>
      </c>
    </row>
    <row r="101" spans="2:13">
      <c r="B101" s="16" t="s">
        <v>256</v>
      </c>
      <c r="C101" s="16" t="s">
        <v>1666</v>
      </c>
      <c r="D101" s="17">
        <v>44744</v>
      </c>
      <c r="E101" s="16" t="s">
        <v>1684</v>
      </c>
      <c r="F101" s="16" t="s">
        <v>1682</v>
      </c>
      <c r="G101" s="32">
        <v>130</v>
      </c>
      <c r="H101" s="16" t="s">
        <v>21</v>
      </c>
      <c r="I101" s="18">
        <v>4</v>
      </c>
      <c r="J101" s="19">
        <v>0.420205578639057</v>
      </c>
      <c r="K101" s="32">
        <f t="shared" si="3"/>
        <v>520</v>
      </c>
      <c r="L101" s="32">
        <f t="shared" si="4"/>
        <v>301</v>
      </c>
      <c r="M101" s="37">
        <f t="shared" si="5"/>
        <v>-219</v>
      </c>
    </row>
    <row r="102" spans="2:13">
      <c r="B102" s="12" t="s">
        <v>258</v>
      </c>
      <c r="C102" s="12" t="s">
        <v>1660</v>
      </c>
      <c r="D102" s="13">
        <v>44735</v>
      </c>
      <c r="E102" s="12" t="s">
        <v>1679</v>
      </c>
      <c r="F102" s="12" t="s">
        <v>1680</v>
      </c>
      <c r="G102" s="31">
        <v>72</v>
      </c>
      <c r="H102" s="12" t="s">
        <v>26</v>
      </c>
      <c r="I102" s="14">
        <v>10</v>
      </c>
      <c r="J102" s="15">
        <v>0.381799662498992</v>
      </c>
      <c r="K102" s="31">
        <f t="shared" si="3"/>
        <v>720</v>
      </c>
      <c r="L102" s="31">
        <f t="shared" si="4"/>
        <v>445</v>
      </c>
      <c r="M102" s="36">
        <f t="shared" si="5"/>
        <v>-275</v>
      </c>
    </row>
    <row r="103" spans="2:13">
      <c r="B103" s="16" t="s">
        <v>260</v>
      </c>
      <c r="C103" s="16" t="s">
        <v>1662</v>
      </c>
      <c r="D103" s="17">
        <v>44751</v>
      </c>
      <c r="E103" s="16" t="s">
        <v>1681</v>
      </c>
      <c r="F103" s="16" t="s">
        <v>1682</v>
      </c>
      <c r="G103" s="32">
        <v>65</v>
      </c>
      <c r="H103" s="16" t="s">
        <v>32</v>
      </c>
      <c r="I103" s="18">
        <v>5</v>
      </c>
      <c r="J103" s="19">
        <v>4.8435914836800799E-3</v>
      </c>
      <c r="K103" s="32">
        <f t="shared" si="3"/>
        <v>325</v>
      </c>
      <c r="L103" s="32">
        <f t="shared" si="4"/>
        <v>323</v>
      </c>
      <c r="M103" s="37">
        <f t="shared" si="5"/>
        <v>-2</v>
      </c>
    </row>
    <row r="104" spans="2:13">
      <c r="B104" s="12" t="s">
        <v>262</v>
      </c>
      <c r="C104" s="12" t="s">
        <v>1664</v>
      </c>
      <c r="D104" s="13">
        <v>44726</v>
      </c>
      <c r="E104" s="12" t="s">
        <v>1683</v>
      </c>
      <c r="F104" s="12" t="s">
        <v>1680</v>
      </c>
      <c r="G104" s="31">
        <v>250</v>
      </c>
      <c r="H104" s="12" t="s">
        <v>21</v>
      </c>
      <c r="I104" s="14">
        <v>2</v>
      </c>
      <c r="J104" s="15">
        <v>0.63857584714373195</v>
      </c>
      <c r="K104" s="31">
        <f t="shared" si="3"/>
        <v>500</v>
      </c>
      <c r="L104" s="31">
        <f t="shared" si="4"/>
        <v>181</v>
      </c>
      <c r="M104" s="36">
        <f t="shared" si="5"/>
        <v>-319</v>
      </c>
    </row>
    <row r="105" spans="2:13">
      <c r="B105" s="16" t="s">
        <v>264</v>
      </c>
      <c r="C105" s="16" t="s">
        <v>1666</v>
      </c>
      <c r="D105" s="17">
        <v>44749</v>
      </c>
      <c r="E105" s="16" t="s">
        <v>1684</v>
      </c>
      <c r="F105" s="16" t="s">
        <v>1682</v>
      </c>
      <c r="G105" s="32">
        <v>130</v>
      </c>
      <c r="H105" s="16" t="s">
        <v>26</v>
      </c>
      <c r="I105" s="18">
        <v>7</v>
      </c>
      <c r="J105" s="19">
        <v>0.92544771931561698</v>
      </c>
      <c r="K105" s="32">
        <f t="shared" si="3"/>
        <v>910</v>
      </c>
      <c r="L105" s="32">
        <f t="shared" si="4"/>
        <v>68</v>
      </c>
      <c r="M105" s="37">
        <f t="shared" si="5"/>
        <v>-842</v>
      </c>
    </row>
    <row r="106" spans="2:13">
      <c r="B106" s="12" t="s">
        <v>266</v>
      </c>
      <c r="C106" s="12" t="s">
        <v>1668</v>
      </c>
      <c r="D106" s="13">
        <v>44734</v>
      </c>
      <c r="E106" s="12" t="s">
        <v>1685</v>
      </c>
      <c r="F106" s="12" t="s">
        <v>1680</v>
      </c>
      <c r="G106" s="31">
        <v>60</v>
      </c>
      <c r="H106" s="12" t="s">
        <v>32</v>
      </c>
      <c r="I106" s="14">
        <v>10</v>
      </c>
      <c r="J106" s="15">
        <v>4.9069353138029403E-2</v>
      </c>
      <c r="K106" s="31">
        <f t="shared" si="3"/>
        <v>600</v>
      </c>
      <c r="L106" s="31">
        <f t="shared" si="4"/>
        <v>571</v>
      </c>
      <c r="M106" s="36">
        <f t="shared" si="5"/>
        <v>-29</v>
      </c>
    </row>
    <row r="107" spans="2:13">
      <c r="B107" s="16" t="s">
        <v>268</v>
      </c>
      <c r="C107" s="16" t="s">
        <v>1660</v>
      </c>
      <c r="D107" s="17">
        <v>44726</v>
      </c>
      <c r="E107" s="16" t="s">
        <v>1679</v>
      </c>
      <c r="F107" s="16" t="s">
        <v>1682</v>
      </c>
      <c r="G107" s="32">
        <v>72</v>
      </c>
      <c r="H107" s="16" t="s">
        <v>21</v>
      </c>
      <c r="I107" s="18">
        <v>11</v>
      </c>
      <c r="J107" s="19">
        <v>0.78757795549188003</v>
      </c>
      <c r="K107" s="32">
        <f t="shared" si="3"/>
        <v>792</v>
      </c>
      <c r="L107" s="32">
        <f t="shared" si="4"/>
        <v>168</v>
      </c>
      <c r="M107" s="37">
        <f t="shared" si="5"/>
        <v>-624</v>
      </c>
    </row>
    <row r="108" spans="2:13">
      <c r="B108" s="12" t="s">
        <v>270</v>
      </c>
      <c r="C108" s="12" t="s">
        <v>1662</v>
      </c>
      <c r="D108" s="13">
        <v>44743</v>
      </c>
      <c r="E108" s="12" t="s">
        <v>1681</v>
      </c>
      <c r="F108" s="12" t="s">
        <v>1680</v>
      </c>
      <c r="G108" s="31">
        <v>65</v>
      </c>
      <c r="H108" s="12" t="s">
        <v>26</v>
      </c>
      <c r="I108" s="14">
        <v>13</v>
      </c>
      <c r="J108" s="15">
        <v>0.44686038780674098</v>
      </c>
      <c r="K108" s="31">
        <f t="shared" si="3"/>
        <v>845</v>
      </c>
      <c r="L108" s="31">
        <f t="shared" si="4"/>
        <v>467</v>
      </c>
      <c r="M108" s="36">
        <f t="shared" si="5"/>
        <v>-378</v>
      </c>
    </row>
    <row r="109" spans="2:13">
      <c r="B109" s="16" t="s">
        <v>272</v>
      </c>
      <c r="C109" s="16" t="s">
        <v>1664</v>
      </c>
      <c r="D109" s="17">
        <v>44742</v>
      </c>
      <c r="E109" s="16" t="s">
        <v>1683</v>
      </c>
      <c r="F109" s="16" t="s">
        <v>1682</v>
      </c>
      <c r="G109" s="32">
        <v>250</v>
      </c>
      <c r="H109" s="16" t="s">
        <v>32</v>
      </c>
      <c r="I109" s="18">
        <v>2</v>
      </c>
      <c r="J109" s="19">
        <v>0.89674363393445999</v>
      </c>
      <c r="K109" s="32">
        <f t="shared" si="3"/>
        <v>500</v>
      </c>
      <c r="L109" s="32">
        <f t="shared" si="4"/>
        <v>52</v>
      </c>
      <c r="M109" s="37">
        <f t="shared" si="5"/>
        <v>-448</v>
      </c>
    </row>
    <row r="110" spans="2:13">
      <c r="B110" s="12" t="s">
        <v>274</v>
      </c>
      <c r="C110" s="12" t="s">
        <v>1666</v>
      </c>
      <c r="D110" s="13">
        <v>44747</v>
      </c>
      <c r="E110" s="12" t="s">
        <v>1684</v>
      </c>
      <c r="F110" s="12" t="s">
        <v>1680</v>
      </c>
      <c r="G110" s="31">
        <v>130</v>
      </c>
      <c r="H110" s="12" t="s">
        <v>21</v>
      </c>
      <c r="I110" s="14">
        <v>6</v>
      </c>
      <c r="J110" s="15">
        <v>3.2373342558606799E-2</v>
      </c>
      <c r="K110" s="31">
        <f t="shared" si="3"/>
        <v>780</v>
      </c>
      <c r="L110" s="31">
        <f t="shared" si="4"/>
        <v>755</v>
      </c>
      <c r="M110" s="36">
        <f t="shared" si="5"/>
        <v>-25</v>
      </c>
    </row>
    <row r="111" spans="2:13">
      <c r="B111" s="16" t="s">
        <v>276</v>
      </c>
      <c r="C111" s="16" t="s">
        <v>1660</v>
      </c>
      <c r="D111" s="17">
        <v>44764</v>
      </c>
      <c r="E111" s="16" t="s">
        <v>1679</v>
      </c>
      <c r="F111" s="16" t="s">
        <v>1682</v>
      </c>
      <c r="G111" s="32">
        <v>72</v>
      </c>
      <c r="H111" s="16" t="s">
        <v>26</v>
      </c>
      <c r="I111" s="18">
        <v>11</v>
      </c>
      <c r="J111" s="19">
        <v>0.942472001521382</v>
      </c>
      <c r="K111" s="32">
        <f t="shared" si="3"/>
        <v>792</v>
      </c>
      <c r="L111" s="32">
        <f t="shared" si="4"/>
        <v>46</v>
      </c>
      <c r="M111" s="37">
        <f t="shared" si="5"/>
        <v>-746</v>
      </c>
    </row>
    <row r="112" spans="2:13">
      <c r="B112" s="12" t="s">
        <v>279</v>
      </c>
      <c r="C112" s="12" t="s">
        <v>1662</v>
      </c>
      <c r="D112" s="13">
        <v>44735</v>
      </c>
      <c r="E112" s="12" t="s">
        <v>1681</v>
      </c>
      <c r="F112" s="12" t="s">
        <v>1680</v>
      </c>
      <c r="G112" s="31">
        <v>65</v>
      </c>
      <c r="H112" s="12" t="s">
        <v>32</v>
      </c>
      <c r="I112" s="14">
        <v>7</v>
      </c>
      <c r="J112" s="15">
        <v>0.24863680679080499</v>
      </c>
      <c r="K112" s="31">
        <f t="shared" si="3"/>
        <v>455</v>
      </c>
      <c r="L112" s="31">
        <f t="shared" si="4"/>
        <v>342</v>
      </c>
      <c r="M112" s="36">
        <f t="shared" si="5"/>
        <v>-113</v>
      </c>
    </row>
    <row r="113" spans="2:13">
      <c r="B113" s="16" t="s">
        <v>281</v>
      </c>
      <c r="C113" s="16" t="s">
        <v>1664</v>
      </c>
      <c r="D113" s="17">
        <v>44737</v>
      </c>
      <c r="E113" s="16" t="s">
        <v>1683</v>
      </c>
      <c r="F113" s="16" t="s">
        <v>1682</v>
      </c>
      <c r="G113" s="32">
        <v>250</v>
      </c>
      <c r="H113" s="16" t="s">
        <v>21</v>
      </c>
      <c r="I113" s="18">
        <v>1</v>
      </c>
      <c r="J113" s="19">
        <v>4.9896521056402299E-2</v>
      </c>
      <c r="K113" s="32">
        <f t="shared" si="3"/>
        <v>250</v>
      </c>
      <c r="L113" s="32">
        <f t="shared" si="4"/>
        <v>238</v>
      </c>
      <c r="M113" s="37">
        <f t="shared" si="5"/>
        <v>-12</v>
      </c>
    </row>
    <row r="114" spans="2:13">
      <c r="B114" s="12" t="s">
        <v>283</v>
      </c>
      <c r="C114" s="12" t="s">
        <v>1666</v>
      </c>
      <c r="D114" s="13">
        <v>44749</v>
      </c>
      <c r="E114" s="12" t="s">
        <v>1684</v>
      </c>
      <c r="F114" s="12" t="s">
        <v>1680</v>
      </c>
      <c r="G114" s="31">
        <v>130</v>
      </c>
      <c r="H114" s="12" t="s">
        <v>26</v>
      </c>
      <c r="I114" s="14">
        <v>7</v>
      </c>
      <c r="J114" s="15">
        <v>0.496183401882766</v>
      </c>
      <c r="K114" s="31">
        <f t="shared" si="3"/>
        <v>910</v>
      </c>
      <c r="L114" s="31">
        <f t="shared" si="4"/>
        <v>458</v>
      </c>
      <c r="M114" s="36">
        <f t="shared" si="5"/>
        <v>-452</v>
      </c>
    </row>
    <row r="115" spans="2:13">
      <c r="B115" s="16" t="s">
        <v>285</v>
      </c>
      <c r="C115" s="16" t="s">
        <v>1668</v>
      </c>
      <c r="D115" s="17">
        <v>44729</v>
      </c>
      <c r="E115" s="16" t="s">
        <v>1685</v>
      </c>
      <c r="F115" s="16" t="s">
        <v>1680</v>
      </c>
      <c r="G115" s="32">
        <v>60</v>
      </c>
      <c r="H115" s="16" t="s">
        <v>32</v>
      </c>
      <c r="I115" s="18">
        <v>13</v>
      </c>
      <c r="J115" s="19">
        <v>0.62889621592411704</v>
      </c>
      <c r="K115" s="32">
        <f t="shared" si="3"/>
        <v>780</v>
      </c>
      <c r="L115" s="32">
        <f t="shared" si="4"/>
        <v>289</v>
      </c>
      <c r="M115" s="37">
        <f t="shared" si="5"/>
        <v>-491</v>
      </c>
    </row>
    <row r="116" spans="2:13">
      <c r="B116" s="12" t="s">
        <v>287</v>
      </c>
      <c r="C116" s="12" t="s">
        <v>1669</v>
      </c>
      <c r="D116" s="13">
        <v>44738</v>
      </c>
      <c r="E116" s="12" t="s">
        <v>1686</v>
      </c>
      <c r="F116" s="12" t="s">
        <v>1682</v>
      </c>
      <c r="G116" s="31">
        <v>95</v>
      </c>
      <c r="H116" s="12" t="s">
        <v>21</v>
      </c>
      <c r="I116" s="14">
        <v>8</v>
      </c>
      <c r="J116" s="15">
        <v>0.87580490637929698</v>
      </c>
      <c r="K116" s="31">
        <f t="shared" si="3"/>
        <v>760</v>
      </c>
      <c r="L116" s="31">
        <f t="shared" si="4"/>
        <v>94</v>
      </c>
      <c r="M116" s="36">
        <f t="shared" si="5"/>
        <v>-666</v>
      </c>
    </row>
    <row r="117" spans="2:13">
      <c r="B117" s="16" t="s">
        <v>289</v>
      </c>
      <c r="C117" s="16" t="s">
        <v>1660</v>
      </c>
      <c r="D117" s="17">
        <v>44740</v>
      </c>
      <c r="E117" s="16" t="s">
        <v>1679</v>
      </c>
      <c r="F117" s="16" t="s">
        <v>1682</v>
      </c>
      <c r="G117" s="32">
        <v>72</v>
      </c>
      <c r="H117" s="16" t="s">
        <v>26</v>
      </c>
      <c r="I117" s="18">
        <v>11</v>
      </c>
      <c r="J117" s="19">
        <v>0.37069854126093299</v>
      </c>
      <c r="K117" s="32">
        <f t="shared" si="3"/>
        <v>792</v>
      </c>
      <c r="L117" s="32">
        <f t="shared" si="4"/>
        <v>498</v>
      </c>
      <c r="M117" s="37">
        <f t="shared" si="5"/>
        <v>-294</v>
      </c>
    </row>
    <row r="118" spans="2:13">
      <c r="B118" s="12" t="s">
        <v>291</v>
      </c>
      <c r="C118" s="12" t="s">
        <v>1662</v>
      </c>
      <c r="D118" s="13">
        <v>44755</v>
      </c>
      <c r="E118" s="12" t="s">
        <v>1681</v>
      </c>
      <c r="F118" s="12" t="s">
        <v>1682</v>
      </c>
      <c r="G118" s="31">
        <v>65</v>
      </c>
      <c r="H118" s="12" t="s">
        <v>32</v>
      </c>
      <c r="I118" s="14">
        <v>10</v>
      </c>
      <c r="J118" s="15">
        <v>0.64422602074286195</v>
      </c>
      <c r="K118" s="31">
        <f t="shared" si="3"/>
        <v>650</v>
      </c>
      <c r="L118" s="31">
        <f t="shared" si="4"/>
        <v>231</v>
      </c>
      <c r="M118" s="36">
        <f t="shared" si="5"/>
        <v>-419</v>
      </c>
    </row>
    <row r="119" spans="2:13">
      <c r="B119" s="16" t="s">
        <v>293</v>
      </c>
      <c r="C119" s="16" t="s">
        <v>1664</v>
      </c>
      <c r="D119" s="17">
        <v>44755</v>
      </c>
      <c r="E119" s="16" t="s">
        <v>1683</v>
      </c>
      <c r="F119" s="16" t="s">
        <v>1680</v>
      </c>
      <c r="G119" s="32">
        <v>250</v>
      </c>
      <c r="H119" s="16" t="s">
        <v>21</v>
      </c>
      <c r="I119" s="18">
        <v>2</v>
      </c>
      <c r="J119" s="19">
        <v>0.76652707543193799</v>
      </c>
      <c r="K119" s="32">
        <f t="shared" si="3"/>
        <v>500</v>
      </c>
      <c r="L119" s="32">
        <f t="shared" si="4"/>
        <v>117</v>
      </c>
      <c r="M119" s="37">
        <f t="shared" si="5"/>
        <v>-383</v>
      </c>
    </row>
    <row r="120" spans="2:13">
      <c r="B120" s="12" t="s">
        <v>295</v>
      </c>
      <c r="C120" s="12" t="s">
        <v>1666</v>
      </c>
      <c r="D120" s="13">
        <v>44764</v>
      </c>
      <c r="E120" s="12" t="s">
        <v>1684</v>
      </c>
      <c r="F120" s="12" t="s">
        <v>1680</v>
      </c>
      <c r="G120" s="31">
        <v>130</v>
      </c>
      <c r="H120" s="12" t="s">
        <v>26</v>
      </c>
      <c r="I120" s="14">
        <v>2</v>
      </c>
      <c r="J120" s="15">
        <v>0.74416329829954497</v>
      </c>
      <c r="K120" s="31">
        <f t="shared" si="3"/>
        <v>260</v>
      </c>
      <c r="L120" s="31">
        <f t="shared" si="4"/>
        <v>67</v>
      </c>
      <c r="M120" s="36">
        <f t="shared" si="5"/>
        <v>-193</v>
      </c>
    </row>
    <row r="121" spans="2:13">
      <c r="B121" s="16" t="s">
        <v>297</v>
      </c>
      <c r="C121" s="16" t="s">
        <v>1660</v>
      </c>
      <c r="D121" s="17">
        <v>44735</v>
      </c>
      <c r="E121" s="16" t="s">
        <v>1679</v>
      </c>
      <c r="F121" s="16" t="s">
        <v>1680</v>
      </c>
      <c r="G121" s="32">
        <v>72</v>
      </c>
      <c r="H121" s="16" t="s">
        <v>32</v>
      </c>
      <c r="I121" s="18">
        <v>8</v>
      </c>
      <c r="J121" s="19">
        <v>0.48484032292333201</v>
      </c>
      <c r="K121" s="32">
        <f t="shared" si="3"/>
        <v>576</v>
      </c>
      <c r="L121" s="32">
        <f t="shared" si="4"/>
        <v>297</v>
      </c>
      <c r="M121" s="37">
        <f t="shared" si="5"/>
        <v>-279</v>
      </c>
    </row>
    <row r="122" spans="2:13">
      <c r="B122" s="12" t="s">
        <v>299</v>
      </c>
      <c r="C122" s="12" t="s">
        <v>1662</v>
      </c>
      <c r="D122" s="13">
        <v>44734</v>
      </c>
      <c r="E122" s="12" t="s">
        <v>1681</v>
      </c>
      <c r="F122" s="12" t="s">
        <v>1680</v>
      </c>
      <c r="G122" s="31">
        <v>65</v>
      </c>
      <c r="H122" s="12" t="s">
        <v>21</v>
      </c>
      <c r="I122" s="14">
        <v>8</v>
      </c>
      <c r="J122" s="15">
        <v>0.10556900790048999</v>
      </c>
      <c r="K122" s="31">
        <f t="shared" si="3"/>
        <v>520</v>
      </c>
      <c r="L122" s="31">
        <f t="shared" si="4"/>
        <v>465</v>
      </c>
      <c r="M122" s="36">
        <f t="shared" si="5"/>
        <v>-55</v>
      </c>
    </row>
    <row r="123" spans="2:13">
      <c r="B123" s="16" t="s">
        <v>301</v>
      </c>
      <c r="C123" s="16" t="s">
        <v>1664</v>
      </c>
      <c r="D123" s="17">
        <v>44728</v>
      </c>
      <c r="E123" s="16" t="s">
        <v>1683</v>
      </c>
      <c r="F123" s="16" t="s">
        <v>1680</v>
      </c>
      <c r="G123" s="32">
        <v>250</v>
      </c>
      <c r="H123" s="16" t="s">
        <v>26</v>
      </c>
      <c r="I123" s="18">
        <v>1</v>
      </c>
      <c r="J123" s="19">
        <v>0.35681327352398801</v>
      </c>
      <c r="K123" s="32">
        <f t="shared" si="3"/>
        <v>250</v>
      </c>
      <c r="L123" s="32">
        <f t="shared" si="4"/>
        <v>161</v>
      </c>
      <c r="M123" s="37">
        <f t="shared" si="5"/>
        <v>-89</v>
      </c>
    </row>
    <row r="124" spans="2:13">
      <c r="B124" s="12" t="s">
        <v>303</v>
      </c>
      <c r="C124" s="12" t="s">
        <v>1666</v>
      </c>
      <c r="D124" s="13">
        <v>44739</v>
      </c>
      <c r="E124" s="12" t="s">
        <v>1684</v>
      </c>
      <c r="F124" s="12" t="s">
        <v>1680</v>
      </c>
      <c r="G124" s="31">
        <v>130</v>
      </c>
      <c r="H124" s="12" t="s">
        <v>32</v>
      </c>
      <c r="I124" s="14">
        <v>2</v>
      </c>
      <c r="J124" s="15">
        <v>0.389661552471671</v>
      </c>
      <c r="K124" s="31">
        <f t="shared" si="3"/>
        <v>260</v>
      </c>
      <c r="L124" s="31">
        <f t="shared" si="4"/>
        <v>159</v>
      </c>
      <c r="M124" s="36">
        <f t="shared" si="5"/>
        <v>-101</v>
      </c>
    </row>
    <row r="125" spans="2:13">
      <c r="B125" s="16" t="s">
        <v>305</v>
      </c>
      <c r="C125" s="16" t="s">
        <v>1668</v>
      </c>
      <c r="D125" s="17">
        <v>44765</v>
      </c>
      <c r="E125" s="16" t="s">
        <v>1685</v>
      </c>
      <c r="F125" s="16" t="s">
        <v>1680</v>
      </c>
      <c r="G125" s="32">
        <v>60</v>
      </c>
      <c r="H125" s="16" t="s">
        <v>21</v>
      </c>
      <c r="I125" s="18">
        <v>6</v>
      </c>
      <c r="J125" s="19">
        <v>0.27342799854809502</v>
      </c>
      <c r="K125" s="32">
        <f t="shared" si="3"/>
        <v>360</v>
      </c>
      <c r="L125" s="32">
        <f t="shared" si="4"/>
        <v>262</v>
      </c>
      <c r="M125" s="37">
        <f t="shared" si="5"/>
        <v>-98</v>
      </c>
    </row>
    <row r="126" spans="2:13">
      <c r="B126" s="12" t="s">
        <v>307</v>
      </c>
      <c r="C126" s="12" t="s">
        <v>1660</v>
      </c>
      <c r="D126" s="13">
        <v>44740</v>
      </c>
      <c r="E126" s="12" t="s">
        <v>1679</v>
      </c>
      <c r="F126" s="12" t="s">
        <v>1680</v>
      </c>
      <c r="G126" s="31">
        <v>72</v>
      </c>
      <c r="H126" s="12" t="s">
        <v>26</v>
      </c>
      <c r="I126" s="14">
        <v>11</v>
      </c>
      <c r="J126" s="15">
        <v>0.68404340685025999</v>
      </c>
      <c r="K126" s="31">
        <f t="shared" si="3"/>
        <v>792</v>
      </c>
      <c r="L126" s="31">
        <f t="shared" si="4"/>
        <v>250</v>
      </c>
      <c r="M126" s="36">
        <f t="shared" si="5"/>
        <v>-542</v>
      </c>
    </row>
    <row r="127" spans="2:13">
      <c r="B127" s="16" t="s">
        <v>309</v>
      </c>
      <c r="C127" s="16" t="s">
        <v>1662</v>
      </c>
      <c r="D127" s="17">
        <v>44734</v>
      </c>
      <c r="E127" s="16" t="s">
        <v>1681</v>
      </c>
      <c r="F127" s="16" t="s">
        <v>1680</v>
      </c>
      <c r="G127" s="32">
        <v>65</v>
      </c>
      <c r="H127" s="16" t="s">
        <v>32</v>
      </c>
      <c r="I127" s="18">
        <v>4</v>
      </c>
      <c r="J127" s="19">
        <v>0.30511671475159702</v>
      </c>
      <c r="K127" s="32">
        <f t="shared" si="3"/>
        <v>260</v>
      </c>
      <c r="L127" s="32">
        <f t="shared" si="4"/>
        <v>181</v>
      </c>
      <c r="M127" s="37">
        <f t="shared" si="5"/>
        <v>-79</v>
      </c>
    </row>
    <row r="128" spans="2:13">
      <c r="B128" s="12" t="s">
        <v>311</v>
      </c>
      <c r="C128" s="12" t="s">
        <v>1664</v>
      </c>
      <c r="D128" s="13">
        <v>44727</v>
      </c>
      <c r="E128" s="12" t="s">
        <v>1683</v>
      </c>
      <c r="F128" s="12" t="s">
        <v>1682</v>
      </c>
      <c r="G128" s="31">
        <v>250</v>
      </c>
      <c r="H128" s="12" t="s">
        <v>21</v>
      </c>
      <c r="I128" s="14">
        <v>3</v>
      </c>
      <c r="J128" s="15">
        <v>0.26634683182511398</v>
      </c>
      <c r="K128" s="31">
        <f t="shared" si="3"/>
        <v>750</v>
      </c>
      <c r="L128" s="31">
        <f t="shared" si="4"/>
        <v>550</v>
      </c>
      <c r="M128" s="36">
        <f t="shared" si="5"/>
        <v>-200</v>
      </c>
    </row>
    <row r="129" spans="2:13">
      <c r="B129" s="16" t="s">
        <v>313</v>
      </c>
      <c r="C129" s="16" t="s">
        <v>1666</v>
      </c>
      <c r="D129" s="17">
        <v>44737</v>
      </c>
      <c r="E129" s="16" t="s">
        <v>1684</v>
      </c>
      <c r="F129" s="16" t="s">
        <v>1680</v>
      </c>
      <c r="G129" s="32">
        <v>130</v>
      </c>
      <c r="H129" s="16" t="s">
        <v>26</v>
      </c>
      <c r="I129" s="18">
        <v>2</v>
      </c>
      <c r="J129" s="19">
        <v>0.95598379426072999</v>
      </c>
      <c r="K129" s="32">
        <f t="shared" si="3"/>
        <v>260</v>
      </c>
      <c r="L129" s="32">
        <f t="shared" si="4"/>
        <v>11</v>
      </c>
      <c r="M129" s="37">
        <f t="shared" si="5"/>
        <v>-249</v>
      </c>
    </row>
    <row r="130" spans="2:13">
      <c r="B130" s="12" t="s">
        <v>315</v>
      </c>
      <c r="C130" s="12" t="s">
        <v>1660</v>
      </c>
      <c r="D130" s="13">
        <v>44747</v>
      </c>
      <c r="E130" s="12" t="s">
        <v>1679</v>
      </c>
      <c r="F130" s="12" t="s">
        <v>1680</v>
      </c>
      <c r="G130" s="31">
        <v>72</v>
      </c>
      <c r="H130" s="12" t="s">
        <v>32</v>
      </c>
      <c r="I130" s="14">
        <v>3</v>
      </c>
      <c r="J130" s="15">
        <v>0.78465682989489005</v>
      </c>
      <c r="K130" s="31">
        <f t="shared" si="3"/>
        <v>216</v>
      </c>
      <c r="L130" s="31">
        <f t="shared" si="4"/>
        <v>47</v>
      </c>
      <c r="M130" s="36">
        <f t="shared" si="5"/>
        <v>-169</v>
      </c>
    </row>
    <row r="131" spans="2:13">
      <c r="B131" s="16" t="s">
        <v>317</v>
      </c>
      <c r="C131" s="16" t="s">
        <v>1662</v>
      </c>
      <c r="D131" s="17">
        <v>44754</v>
      </c>
      <c r="E131" s="16" t="s">
        <v>1681</v>
      </c>
      <c r="F131" s="16" t="s">
        <v>1680</v>
      </c>
      <c r="G131" s="32">
        <v>65</v>
      </c>
      <c r="H131" s="16" t="s">
        <v>21</v>
      </c>
      <c r="I131" s="18">
        <v>4</v>
      </c>
      <c r="J131" s="19">
        <v>0.92531650826605805</v>
      </c>
      <c r="K131" s="32">
        <f t="shared" si="3"/>
        <v>260</v>
      </c>
      <c r="L131" s="32">
        <f t="shared" si="4"/>
        <v>19</v>
      </c>
      <c r="M131" s="37">
        <f t="shared" si="5"/>
        <v>-241</v>
      </c>
    </row>
    <row r="132" spans="2:13">
      <c r="B132" s="12" t="s">
        <v>319</v>
      </c>
      <c r="C132" s="12" t="s">
        <v>1664</v>
      </c>
      <c r="D132" s="13">
        <v>44760</v>
      </c>
      <c r="E132" s="12" t="s">
        <v>1683</v>
      </c>
      <c r="F132" s="12" t="s">
        <v>1680</v>
      </c>
      <c r="G132" s="31">
        <v>250</v>
      </c>
      <c r="H132" s="12" t="s">
        <v>26</v>
      </c>
      <c r="I132" s="14">
        <v>3</v>
      </c>
      <c r="J132" s="15">
        <v>0.91314982692991498</v>
      </c>
      <c r="K132" s="31">
        <f t="shared" si="3"/>
        <v>750</v>
      </c>
      <c r="L132" s="31">
        <f t="shared" si="4"/>
        <v>65</v>
      </c>
      <c r="M132" s="36">
        <f t="shared" si="5"/>
        <v>-685</v>
      </c>
    </row>
    <row r="133" spans="2:13">
      <c r="B133" s="16" t="s">
        <v>321</v>
      </c>
      <c r="C133" s="16" t="s">
        <v>1666</v>
      </c>
      <c r="D133" s="17">
        <v>44759</v>
      </c>
      <c r="E133" s="16" t="s">
        <v>1684</v>
      </c>
      <c r="F133" s="16" t="s">
        <v>1680</v>
      </c>
      <c r="G133" s="32">
        <v>130</v>
      </c>
      <c r="H133" s="16" t="s">
        <v>32</v>
      </c>
      <c r="I133" s="18">
        <v>2</v>
      </c>
      <c r="J133" s="19">
        <v>8.4586093307030194E-2</v>
      </c>
      <c r="K133" s="32">
        <f t="shared" si="3"/>
        <v>260</v>
      </c>
      <c r="L133" s="32">
        <f t="shared" si="4"/>
        <v>238</v>
      </c>
      <c r="M133" s="37">
        <f t="shared" si="5"/>
        <v>-22</v>
      </c>
    </row>
    <row r="134" spans="2:13">
      <c r="B134" s="12" t="s">
        <v>323</v>
      </c>
      <c r="C134" s="12" t="s">
        <v>1668</v>
      </c>
      <c r="D134" s="13">
        <v>44735</v>
      </c>
      <c r="E134" s="12" t="s">
        <v>1685</v>
      </c>
      <c r="F134" s="12" t="s">
        <v>1682</v>
      </c>
      <c r="G134" s="31">
        <v>60</v>
      </c>
      <c r="H134" s="12" t="s">
        <v>21</v>
      </c>
      <c r="I134" s="14">
        <v>7</v>
      </c>
      <c r="J134" s="15">
        <v>0.92983220282837498</v>
      </c>
      <c r="K134" s="31">
        <f t="shared" ref="K134:K197" si="6">PRODUCT(I134,G134)</f>
        <v>420</v>
      </c>
      <c r="L134" s="31">
        <f t="shared" ref="L134:L197" si="7">ROUND(K134*(1-J134),0)</f>
        <v>29</v>
      </c>
      <c r="M134" s="36">
        <f t="shared" si="5"/>
        <v>-391</v>
      </c>
    </row>
    <row r="135" spans="2:13">
      <c r="B135" s="16" t="s">
        <v>325</v>
      </c>
      <c r="C135" s="16" t="s">
        <v>1669</v>
      </c>
      <c r="D135" s="17">
        <v>44734</v>
      </c>
      <c r="E135" s="16" t="s">
        <v>1686</v>
      </c>
      <c r="F135" s="16" t="s">
        <v>1680</v>
      </c>
      <c r="G135" s="32">
        <v>95</v>
      </c>
      <c r="H135" s="16" t="s">
        <v>26</v>
      </c>
      <c r="I135" s="18">
        <v>6</v>
      </c>
      <c r="J135" s="19">
        <v>0.13029960752667599</v>
      </c>
      <c r="K135" s="32">
        <f t="shared" si="6"/>
        <v>570</v>
      </c>
      <c r="L135" s="32">
        <f t="shared" si="7"/>
        <v>496</v>
      </c>
      <c r="M135" s="37">
        <f t="shared" ref="M135:M198" si="8">ROUND(L135-K135,0)</f>
        <v>-74</v>
      </c>
    </row>
    <row r="136" spans="2:13">
      <c r="B136" s="12" t="s">
        <v>327</v>
      </c>
      <c r="C136" s="12" t="s">
        <v>1660</v>
      </c>
      <c r="D136" s="13">
        <v>44753</v>
      </c>
      <c r="E136" s="12" t="s">
        <v>1679</v>
      </c>
      <c r="F136" s="12" t="s">
        <v>1680</v>
      </c>
      <c r="G136" s="31">
        <v>72</v>
      </c>
      <c r="H136" s="12" t="s">
        <v>32</v>
      </c>
      <c r="I136" s="14">
        <v>6</v>
      </c>
      <c r="J136" s="15">
        <v>0.41456728266200199</v>
      </c>
      <c r="K136" s="31">
        <f t="shared" si="6"/>
        <v>432</v>
      </c>
      <c r="L136" s="31">
        <f t="shared" si="7"/>
        <v>253</v>
      </c>
      <c r="M136" s="36">
        <f t="shared" si="8"/>
        <v>-179</v>
      </c>
    </row>
    <row r="137" spans="2:13">
      <c r="B137" s="16" t="s">
        <v>329</v>
      </c>
      <c r="C137" s="16" t="s">
        <v>1662</v>
      </c>
      <c r="D137" s="17">
        <v>44739</v>
      </c>
      <c r="E137" s="16" t="s">
        <v>1681</v>
      </c>
      <c r="F137" s="16" t="s">
        <v>1680</v>
      </c>
      <c r="G137" s="32">
        <v>65</v>
      </c>
      <c r="H137" s="16" t="s">
        <v>21</v>
      </c>
      <c r="I137" s="18">
        <v>8</v>
      </c>
      <c r="J137" s="19">
        <v>0.77953807822657895</v>
      </c>
      <c r="K137" s="32">
        <f t="shared" si="6"/>
        <v>520</v>
      </c>
      <c r="L137" s="32">
        <f t="shared" si="7"/>
        <v>115</v>
      </c>
      <c r="M137" s="37">
        <f t="shared" si="8"/>
        <v>-405</v>
      </c>
    </row>
    <row r="138" spans="2:13">
      <c r="B138" s="12" t="s">
        <v>331</v>
      </c>
      <c r="C138" s="12" t="s">
        <v>1664</v>
      </c>
      <c r="D138" s="13">
        <v>44740</v>
      </c>
      <c r="E138" s="12" t="s">
        <v>1683</v>
      </c>
      <c r="F138" s="12" t="s">
        <v>1682</v>
      </c>
      <c r="G138" s="31">
        <v>250</v>
      </c>
      <c r="H138" s="12" t="s">
        <v>26</v>
      </c>
      <c r="I138" s="14">
        <v>3</v>
      </c>
      <c r="J138" s="15">
        <v>0.56602493379943297</v>
      </c>
      <c r="K138" s="31">
        <f t="shared" si="6"/>
        <v>750</v>
      </c>
      <c r="L138" s="31">
        <f t="shared" si="7"/>
        <v>325</v>
      </c>
      <c r="M138" s="36">
        <f t="shared" si="8"/>
        <v>-425</v>
      </c>
    </row>
    <row r="139" spans="2:13">
      <c r="B139" s="16" t="s">
        <v>333</v>
      </c>
      <c r="C139" s="16" t="s">
        <v>1666</v>
      </c>
      <c r="D139" s="17">
        <v>44748</v>
      </c>
      <c r="E139" s="16" t="s">
        <v>1684</v>
      </c>
      <c r="F139" s="16" t="s">
        <v>1682</v>
      </c>
      <c r="G139" s="32">
        <v>130</v>
      </c>
      <c r="H139" s="16" t="s">
        <v>32</v>
      </c>
      <c r="I139" s="18">
        <v>2</v>
      </c>
      <c r="J139" s="19">
        <v>0.79227719470858304</v>
      </c>
      <c r="K139" s="32">
        <f t="shared" si="6"/>
        <v>260</v>
      </c>
      <c r="L139" s="32">
        <f t="shared" si="7"/>
        <v>54</v>
      </c>
      <c r="M139" s="37">
        <f t="shared" si="8"/>
        <v>-206</v>
      </c>
    </row>
    <row r="140" spans="2:13">
      <c r="B140" s="12" t="s">
        <v>335</v>
      </c>
      <c r="C140" s="12" t="s">
        <v>1660</v>
      </c>
      <c r="D140" s="13">
        <v>44731</v>
      </c>
      <c r="E140" s="12" t="s">
        <v>1679</v>
      </c>
      <c r="F140" s="12" t="s">
        <v>1682</v>
      </c>
      <c r="G140" s="31">
        <v>72</v>
      </c>
      <c r="H140" s="12" t="s">
        <v>21</v>
      </c>
      <c r="I140" s="14">
        <v>9</v>
      </c>
      <c r="J140" s="15">
        <v>9.6806596410280193E-2</v>
      </c>
      <c r="K140" s="31">
        <f t="shared" si="6"/>
        <v>648</v>
      </c>
      <c r="L140" s="31">
        <f t="shared" si="7"/>
        <v>585</v>
      </c>
      <c r="M140" s="36">
        <f t="shared" si="8"/>
        <v>-63</v>
      </c>
    </row>
    <row r="141" spans="2:13">
      <c r="B141" s="16" t="s">
        <v>337</v>
      </c>
      <c r="C141" s="16" t="s">
        <v>1662</v>
      </c>
      <c r="D141" s="17">
        <v>44763</v>
      </c>
      <c r="E141" s="16" t="s">
        <v>1681</v>
      </c>
      <c r="F141" s="16" t="s">
        <v>1682</v>
      </c>
      <c r="G141" s="32">
        <v>65</v>
      </c>
      <c r="H141" s="16" t="s">
        <v>26</v>
      </c>
      <c r="I141" s="18">
        <v>8</v>
      </c>
      <c r="J141" s="19">
        <v>0.10738058788365799</v>
      </c>
      <c r="K141" s="32">
        <f t="shared" si="6"/>
        <v>520</v>
      </c>
      <c r="L141" s="32">
        <f t="shared" si="7"/>
        <v>464</v>
      </c>
      <c r="M141" s="37">
        <f t="shared" si="8"/>
        <v>-56</v>
      </c>
    </row>
    <row r="142" spans="2:13">
      <c r="B142" s="12" t="s">
        <v>339</v>
      </c>
      <c r="C142" s="12" t="s">
        <v>1664</v>
      </c>
      <c r="D142" s="13">
        <v>44733</v>
      </c>
      <c r="E142" s="12" t="s">
        <v>1683</v>
      </c>
      <c r="F142" s="12" t="s">
        <v>1682</v>
      </c>
      <c r="G142" s="31">
        <v>250</v>
      </c>
      <c r="H142" s="12" t="s">
        <v>32</v>
      </c>
      <c r="I142" s="14">
        <v>1</v>
      </c>
      <c r="J142" s="15">
        <v>0.68298720032284699</v>
      </c>
      <c r="K142" s="31">
        <f t="shared" si="6"/>
        <v>250</v>
      </c>
      <c r="L142" s="31">
        <f t="shared" si="7"/>
        <v>79</v>
      </c>
      <c r="M142" s="36">
        <f t="shared" si="8"/>
        <v>-171</v>
      </c>
    </row>
    <row r="143" spans="2:13">
      <c r="B143" s="16" t="s">
        <v>341</v>
      </c>
      <c r="C143" s="16" t="s">
        <v>1666</v>
      </c>
      <c r="D143" s="17">
        <v>44746</v>
      </c>
      <c r="E143" s="16" t="s">
        <v>1684</v>
      </c>
      <c r="F143" s="16" t="s">
        <v>1682</v>
      </c>
      <c r="G143" s="32">
        <v>130</v>
      </c>
      <c r="H143" s="16" t="s">
        <v>21</v>
      </c>
      <c r="I143" s="18">
        <v>2</v>
      </c>
      <c r="J143" s="19">
        <v>8.8476327566972005E-2</v>
      </c>
      <c r="K143" s="32">
        <f t="shared" si="6"/>
        <v>260</v>
      </c>
      <c r="L143" s="32">
        <f t="shared" si="7"/>
        <v>237</v>
      </c>
      <c r="M143" s="37">
        <f t="shared" si="8"/>
        <v>-23</v>
      </c>
    </row>
    <row r="144" spans="2:13">
      <c r="B144" s="12" t="s">
        <v>343</v>
      </c>
      <c r="C144" s="12" t="s">
        <v>1660</v>
      </c>
      <c r="D144" s="13">
        <v>44755</v>
      </c>
      <c r="E144" s="12" t="s">
        <v>1679</v>
      </c>
      <c r="F144" s="12" t="s">
        <v>1680</v>
      </c>
      <c r="G144" s="31">
        <v>72</v>
      </c>
      <c r="H144" s="12" t="s">
        <v>21</v>
      </c>
      <c r="I144" s="14">
        <v>9</v>
      </c>
      <c r="J144" s="15">
        <v>0.12263076179641</v>
      </c>
      <c r="K144" s="31">
        <f t="shared" si="6"/>
        <v>648</v>
      </c>
      <c r="L144" s="31">
        <f t="shared" si="7"/>
        <v>569</v>
      </c>
      <c r="M144" s="36">
        <f t="shared" si="8"/>
        <v>-79</v>
      </c>
    </row>
    <row r="145" spans="2:13">
      <c r="B145" s="16" t="s">
        <v>345</v>
      </c>
      <c r="C145" s="16" t="s">
        <v>1662</v>
      </c>
      <c r="D145" s="17">
        <v>44755</v>
      </c>
      <c r="E145" s="16" t="s">
        <v>1681</v>
      </c>
      <c r="F145" s="16" t="s">
        <v>1682</v>
      </c>
      <c r="G145" s="32">
        <v>65</v>
      </c>
      <c r="H145" s="16" t="s">
        <v>26</v>
      </c>
      <c r="I145" s="18">
        <v>7</v>
      </c>
      <c r="J145" s="19">
        <v>0.213481238544389</v>
      </c>
      <c r="K145" s="32">
        <f t="shared" si="6"/>
        <v>455</v>
      </c>
      <c r="L145" s="32">
        <f t="shared" si="7"/>
        <v>358</v>
      </c>
      <c r="M145" s="37">
        <f t="shared" si="8"/>
        <v>-97</v>
      </c>
    </row>
    <row r="146" spans="2:13">
      <c r="B146" s="12" t="s">
        <v>347</v>
      </c>
      <c r="C146" s="12" t="s">
        <v>1664</v>
      </c>
      <c r="D146" s="13">
        <v>44727</v>
      </c>
      <c r="E146" s="12" t="s">
        <v>1683</v>
      </c>
      <c r="F146" s="12" t="s">
        <v>1680</v>
      </c>
      <c r="G146" s="31">
        <v>250</v>
      </c>
      <c r="H146" s="12" t="s">
        <v>32</v>
      </c>
      <c r="I146" s="14">
        <v>3</v>
      </c>
      <c r="J146" s="15">
        <v>0.51777110877083798</v>
      </c>
      <c r="K146" s="31">
        <f t="shared" si="6"/>
        <v>750</v>
      </c>
      <c r="L146" s="31">
        <f t="shared" si="7"/>
        <v>362</v>
      </c>
      <c r="M146" s="36">
        <f t="shared" si="8"/>
        <v>-388</v>
      </c>
    </row>
    <row r="147" spans="2:13">
      <c r="B147" s="16" t="s">
        <v>349</v>
      </c>
      <c r="C147" s="16" t="s">
        <v>1666</v>
      </c>
      <c r="D147" s="17">
        <v>44746</v>
      </c>
      <c r="E147" s="16" t="s">
        <v>1684</v>
      </c>
      <c r="F147" s="16" t="s">
        <v>1682</v>
      </c>
      <c r="G147" s="32">
        <v>130</v>
      </c>
      <c r="H147" s="16" t="s">
        <v>21</v>
      </c>
      <c r="I147" s="18">
        <v>3</v>
      </c>
      <c r="J147" s="19">
        <v>0.24714123665878601</v>
      </c>
      <c r="K147" s="32">
        <f t="shared" si="6"/>
        <v>390</v>
      </c>
      <c r="L147" s="32">
        <f t="shared" si="7"/>
        <v>294</v>
      </c>
      <c r="M147" s="37">
        <f t="shared" si="8"/>
        <v>-96</v>
      </c>
    </row>
    <row r="148" spans="2:13">
      <c r="B148" s="12" t="s">
        <v>351</v>
      </c>
      <c r="C148" s="12" t="s">
        <v>1660</v>
      </c>
      <c r="D148" s="13">
        <v>44740</v>
      </c>
      <c r="E148" s="12" t="s">
        <v>1679</v>
      </c>
      <c r="F148" s="12" t="s">
        <v>1680</v>
      </c>
      <c r="G148" s="31">
        <v>72</v>
      </c>
      <c r="H148" s="12" t="s">
        <v>26</v>
      </c>
      <c r="I148" s="14">
        <v>4</v>
      </c>
      <c r="J148" s="15">
        <v>0.74108890181243603</v>
      </c>
      <c r="K148" s="31">
        <f t="shared" si="6"/>
        <v>288</v>
      </c>
      <c r="L148" s="31">
        <f t="shared" si="7"/>
        <v>75</v>
      </c>
      <c r="M148" s="36">
        <f t="shared" si="8"/>
        <v>-213</v>
      </c>
    </row>
    <row r="149" spans="2:13">
      <c r="B149" s="16" t="s">
        <v>353</v>
      </c>
      <c r="C149" s="16" t="s">
        <v>1662</v>
      </c>
      <c r="D149" s="17">
        <v>44743</v>
      </c>
      <c r="E149" s="16" t="s">
        <v>1681</v>
      </c>
      <c r="F149" s="16" t="s">
        <v>1682</v>
      </c>
      <c r="G149" s="32">
        <v>65</v>
      </c>
      <c r="H149" s="16" t="s">
        <v>32</v>
      </c>
      <c r="I149" s="18">
        <v>5</v>
      </c>
      <c r="J149" s="19">
        <v>0.75895504749183296</v>
      </c>
      <c r="K149" s="32">
        <f t="shared" si="6"/>
        <v>325</v>
      </c>
      <c r="L149" s="32">
        <f t="shared" si="7"/>
        <v>78</v>
      </c>
      <c r="M149" s="37">
        <f t="shared" si="8"/>
        <v>-247</v>
      </c>
    </row>
    <row r="150" spans="2:13">
      <c r="B150" s="12" t="s">
        <v>355</v>
      </c>
      <c r="C150" s="12" t="s">
        <v>1664</v>
      </c>
      <c r="D150" s="13">
        <v>44737</v>
      </c>
      <c r="E150" s="12" t="s">
        <v>1683</v>
      </c>
      <c r="F150" s="12" t="s">
        <v>1680</v>
      </c>
      <c r="G150" s="31">
        <v>250</v>
      </c>
      <c r="H150" s="12" t="s">
        <v>21</v>
      </c>
      <c r="I150" s="14">
        <v>4</v>
      </c>
      <c r="J150" s="15">
        <v>0.39519452416647499</v>
      </c>
      <c r="K150" s="31">
        <f t="shared" si="6"/>
        <v>1000</v>
      </c>
      <c r="L150" s="31">
        <f t="shared" si="7"/>
        <v>605</v>
      </c>
      <c r="M150" s="36">
        <f t="shared" si="8"/>
        <v>-395</v>
      </c>
    </row>
    <row r="151" spans="2:13">
      <c r="B151" s="16" t="s">
        <v>357</v>
      </c>
      <c r="C151" s="16" t="s">
        <v>1666</v>
      </c>
      <c r="D151" s="17">
        <v>44757</v>
      </c>
      <c r="E151" s="16" t="s">
        <v>1684</v>
      </c>
      <c r="F151" s="16" t="s">
        <v>1682</v>
      </c>
      <c r="G151" s="32">
        <v>130</v>
      </c>
      <c r="H151" s="16" t="s">
        <v>26</v>
      </c>
      <c r="I151" s="18">
        <v>5</v>
      </c>
      <c r="J151" s="19">
        <v>2.58578141589377E-2</v>
      </c>
      <c r="K151" s="32">
        <f t="shared" si="6"/>
        <v>650</v>
      </c>
      <c r="L151" s="32">
        <f t="shared" si="7"/>
        <v>633</v>
      </c>
      <c r="M151" s="37">
        <f t="shared" si="8"/>
        <v>-17</v>
      </c>
    </row>
    <row r="152" spans="2:13">
      <c r="B152" s="12" t="s">
        <v>359</v>
      </c>
      <c r="C152" s="12" t="s">
        <v>1668</v>
      </c>
      <c r="D152" s="13">
        <v>44745</v>
      </c>
      <c r="E152" s="12" t="s">
        <v>1685</v>
      </c>
      <c r="F152" s="12" t="s">
        <v>1680</v>
      </c>
      <c r="G152" s="31">
        <v>60</v>
      </c>
      <c r="H152" s="12" t="s">
        <v>32</v>
      </c>
      <c r="I152" s="14">
        <v>10</v>
      </c>
      <c r="J152" s="15">
        <v>0.35224195755599902</v>
      </c>
      <c r="K152" s="31">
        <f t="shared" si="6"/>
        <v>600</v>
      </c>
      <c r="L152" s="31">
        <f t="shared" si="7"/>
        <v>389</v>
      </c>
      <c r="M152" s="36">
        <f t="shared" si="8"/>
        <v>-211</v>
      </c>
    </row>
    <row r="153" spans="2:13">
      <c r="B153" s="16" t="s">
        <v>361</v>
      </c>
      <c r="C153" s="16" t="s">
        <v>1660</v>
      </c>
      <c r="D153" s="17">
        <v>44760</v>
      </c>
      <c r="E153" s="16" t="s">
        <v>1679</v>
      </c>
      <c r="F153" s="16" t="s">
        <v>1682</v>
      </c>
      <c r="G153" s="32">
        <v>72</v>
      </c>
      <c r="H153" s="16" t="s">
        <v>21</v>
      </c>
      <c r="I153" s="18">
        <v>12</v>
      </c>
      <c r="J153" s="19">
        <v>4.2934737769464902E-2</v>
      </c>
      <c r="K153" s="32">
        <f t="shared" si="6"/>
        <v>864</v>
      </c>
      <c r="L153" s="32">
        <f t="shared" si="7"/>
        <v>827</v>
      </c>
      <c r="M153" s="37">
        <f t="shared" si="8"/>
        <v>-37</v>
      </c>
    </row>
    <row r="154" spans="2:13">
      <c r="B154" s="12" t="s">
        <v>363</v>
      </c>
      <c r="C154" s="12" t="s">
        <v>1662</v>
      </c>
      <c r="D154" s="13">
        <v>44750</v>
      </c>
      <c r="E154" s="12" t="s">
        <v>1681</v>
      </c>
      <c r="F154" s="12" t="s">
        <v>1680</v>
      </c>
      <c r="G154" s="31">
        <v>65</v>
      </c>
      <c r="H154" s="12" t="s">
        <v>26</v>
      </c>
      <c r="I154" s="14">
        <v>12</v>
      </c>
      <c r="J154" s="15">
        <v>6.8824781708391996E-3</v>
      </c>
      <c r="K154" s="31">
        <f t="shared" si="6"/>
        <v>780</v>
      </c>
      <c r="L154" s="31">
        <f t="shared" si="7"/>
        <v>775</v>
      </c>
      <c r="M154" s="36">
        <f t="shared" si="8"/>
        <v>-5</v>
      </c>
    </row>
    <row r="155" spans="2:13">
      <c r="B155" s="16" t="s">
        <v>365</v>
      </c>
      <c r="C155" s="16" t="s">
        <v>1664</v>
      </c>
      <c r="D155" s="17">
        <v>44742</v>
      </c>
      <c r="E155" s="16" t="s">
        <v>1683</v>
      </c>
      <c r="F155" s="16" t="s">
        <v>1682</v>
      </c>
      <c r="G155" s="32">
        <v>250</v>
      </c>
      <c r="H155" s="16" t="s">
        <v>32</v>
      </c>
      <c r="I155" s="18">
        <v>1</v>
      </c>
      <c r="J155" s="19">
        <v>0.85534007472556395</v>
      </c>
      <c r="K155" s="32">
        <f t="shared" si="6"/>
        <v>250</v>
      </c>
      <c r="L155" s="32">
        <f t="shared" si="7"/>
        <v>36</v>
      </c>
      <c r="M155" s="37">
        <f t="shared" si="8"/>
        <v>-214</v>
      </c>
    </row>
    <row r="156" spans="2:13">
      <c r="B156" s="12" t="s">
        <v>367</v>
      </c>
      <c r="C156" s="12" t="s">
        <v>1666</v>
      </c>
      <c r="D156" s="13">
        <v>44754</v>
      </c>
      <c r="E156" s="12" t="s">
        <v>1684</v>
      </c>
      <c r="F156" s="12" t="s">
        <v>1680</v>
      </c>
      <c r="G156" s="31">
        <v>130</v>
      </c>
      <c r="H156" s="12" t="s">
        <v>21</v>
      </c>
      <c r="I156" s="14">
        <v>6</v>
      </c>
      <c r="J156" s="15">
        <v>0.62107648533214599</v>
      </c>
      <c r="K156" s="31">
        <f t="shared" si="6"/>
        <v>780</v>
      </c>
      <c r="L156" s="31">
        <f t="shared" si="7"/>
        <v>296</v>
      </c>
      <c r="M156" s="36">
        <f t="shared" si="8"/>
        <v>-484</v>
      </c>
    </row>
    <row r="157" spans="2:13">
      <c r="B157" s="16" t="s">
        <v>369</v>
      </c>
      <c r="C157" s="16" t="s">
        <v>1660</v>
      </c>
      <c r="D157" s="17">
        <v>44746</v>
      </c>
      <c r="E157" s="16" t="s">
        <v>1679</v>
      </c>
      <c r="F157" s="16" t="s">
        <v>1682</v>
      </c>
      <c r="G157" s="32">
        <v>72</v>
      </c>
      <c r="H157" s="16" t="s">
        <v>26</v>
      </c>
      <c r="I157" s="18">
        <v>3</v>
      </c>
      <c r="J157" s="19">
        <v>0.93819201157518695</v>
      </c>
      <c r="K157" s="32">
        <f t="shared" si="6"/>
        <v>216</v>
      </c>
      <c r="L157" s="32">
        <f t="shared" si="7"/>
        <v>13</v>
      </c>
      <c r="M157" s="37">
        <f t="shared" si="8"/>
        <v>-203</v>
      </c>
    </row>
    <row r="158" spans="2:13">
      <c r="B158" s="12" t="s">
        <v>371</v>
      </c>
      <c r="C158" s="12" t="s">
        <v>1662</v>
      </c>
      <c r="D158" s="13">
        <v>44752</v>
      </c>
      <c r="E158" s="12" t="s">
        <v>1681</v>
      </c>
      <c r="F158" s="12" t="s">
        <v>1680</v>
      </c>
      <c r="G158" s="31">
        <v>65</v>
      </c>
      <c r="H158" s="12" t="s">
        <v>32</v>
      </c>
      <c r="I158" s="14">
        <v>12</v>
      </c>
      <c r="J158" s="15">
        <v>0.97731506347213704</v>
      </c>
      <c r="K158" s="31">
        <f t="shared" si="6"/>
        <v>780</v>
      </c>
      <c r="L158" s="31">
        <f t="shared" si="7"/>
        <v>18</v>
      </c>
      <c r="M158" s="36">
        <f t="shared" si="8"/>
        <v>-762</v>
      </c>
    </row>
    <row r="159" spans="2:13">
      <c r="B159" s="16" t="s">
        <v>373</v>
      </c>
      <c r="C159" s="16" t="s">
        <v>1664</v>
      </c>
      <c r="D159" s="17">
        <v>44725</v>
      </c>
      <c r="E159" s="16" t="s">
        <v>1683</v>
      </c>
      <c r="F159" s="16" t="s">
        <v>1682</v>
      </c>
      <c r="G159" s="32">
        <v>250</v>
      </c>
      <c r="H159" s="16" t="s">
        <v>21</v>
      </c>
      <c r="I159" s="18">
        <v>3</v>
      </c>
      <c r="J159" s="19">
        <v>0.93618769203099494</v>
      </c>
      <c r="K159" s="32">
        <f t="shared" si="6"/>
        <v>750</v>
      </c>
      <c r="L159" s="32">
        <f t="shared" si="7"/>
        <v>48</v>
      </c>
      <c r="M159" s="37">
        <f t="shared" si="8"/>
        <v>-702</v>
      </c>
    </row>
    <row r="160" spans="2:13">
      <c r="B160" s="12" t="s">
        <v>375</v>
      </c>
      <c r="C160" s="12" t="s">
        <v>1666</v>
      </c>
      <c r="D160" s="13">
        <v>44734</v>
      </c>
      <c r="E160" s="12" t="s">
        <v>1684</v>
      </c>
      <c r="F160" s="12" t="s">
        <v>1680</v>
      </c>
      <c r="G160" s="31">
        <v>130</v>
      </c>
      <c r="H160" s="12" t="s">
        <v>26</v>
      </c>
      <c r="I160" s="14">
        <v>5</v>
      </c>
      <c r="J160" s="15">
        <v>0.92747059451906599</v>
      </c>
      <c r="K160" s="31">
        <f t="shared" si="6"/>
        <v>650</v>
      </c>
      <c r="L160" s="31">
        <f t="shared" si="7"/>
        <v>47</v>
      </c>
      <c r="M160" s="36">
        <f t="shared" si="8"/>
        <v>-603</v>
      </c>
    </row>
    <row r="161" spans="2:13">
      <c r="B161" s="16" t="s">
        <v>377</v>
      </c>
      <c r="C161" s="16" t="s">
        <v>1668</v>
      </c>
      <c r="D161" s="17">
        <v>44761</v>
      </c>
      <c r="E161" s="16" t="s">
        <v>1685</v>
      </c>
      <c r="F161" s="16" t="s">
        <v>1680</v>
      </c>
      <c r="G161" s="32">
        <v>60</v>
      </c>
      <c r="H161" s="16" t="s">
        <v>32</v>
      </c>
      <c r="I161" s="18">
        <v>8</v>
      </c>
      <c r="J161" s="19">
        <v>9.83311046481503E-2</v>
      </c>
      <c r="K161" s="32">
        <f t="shared" si="6"/>
        <v>480</v>
      </c>
      <c r="L161" s="32">
        <f t="shared" si="7"/>
        <v>433</v>
      </c>
      <c r="M161" s="37">
        <f t="shared" si="8"/>
        <v>-47</v>
      </c>
    </row>
    <row r="162" spans="2:13">
      <c r="B162" s="12" t="s">
        <v>379</v>
      </c>
      <c r="C162" s="12" t="s">
        <v>1669</v>
      </c>
      <c r="D162" s="13">
        <v>44735</v>
      </c>
      <c r="E162" s="12" t="s">
        <v>1686</v>
      </c>
      <c r="F162" s="12" t="s">
        <v>1682</v>
      </c>
      <c r="G162" s="31">
        <v>95</v>
      </c>
      <c r="H162" s="12" t="s">
        <v>21</v>
      </c>
      <c r="I162" s="14">
        <v>5</v>
      </c>
      <c r="J162" s="15">
        <v>4.5012478047171704E-3</v>
      </c>
      <c r="K162" s="31">
        <f t="shared" si="6"/>
        <v>475</v>
      </c>
      <c r="L162" s="31">
        <f t="shared" si="7"/>
        <v>473</v>
      </c>
      <c r="M162" s="36">
        <f t="shared" si="8"/>
        <v>-2</v>
      </c>
    </row>
    <row r="163" spans="2:13">
      <c r="B163" s="16" t="s">
        <v>381</v>
      </c>
      <c r="C163" s="16" t="s">
        <v>1660</v>
      </c>
      <c r="D163" s="17">
        <v>44753</v>
      </c>
      <c r="E163" s="16" t="s">
        <v>1679</v>
      </c>
      <c r="F163" s="16" t="s">
        <v>1682</v>
      </c>
      <c r="G163" s="32">
        <v>72</v>
      </c>
      <c r="H163" s="16" t="s">
        <v>26</v>
      </c>
      <c r="I163" s="18">
        <v>9</v>
      </c>
      <c r="J163" s="19">
        <v>0.22169192366246801</v>
      </c>
      <c r="K163" s="32">
        <f t="shared" si="6"/>
        <v>648</v>
      </c>
      <c r="L163" s="32">
        <f t="shared" si="7"/>
        <v>504</v>
      </c>
      <c r="M163" s="37">
        <f t="shared" si="8"/>
        <v>-144</v>
      </c>
    </row>
    <row r="164" spans="2:13">
      <c r="B164" s="12" t="s">
        <v>383</v>
      </c>
      <c r="C164" s="12" t="s">
        <v>1662</v>
      </c>
      <c r="D164" s="13">
        <v>44732</v>
      </c>
      <c r="E164" s="12" t="s">
        <v>1681</v>
      </c>
      <c r="F164" s="12" t="s">
        <v>1682</v>
      </c>
      <c r="G164" s="31">
        <v>65</v>
      </c>
      <c r="H164" s="12" t="s">
        <v>32</v>
      </c>
      <c r="I164" s="14">
        <v>6</v>
      </c>
      <c r="J164" s="15">
        <v>0.91624709117858605</v>
      </c>
      <c r="K164" s="31">
        <f t="shared" si="6"/>
        <v>390</v>
      </c>
      <c r="L164" s="31">
        <f t="shared" si="7"/>
        <v>33</v>
      </c>
      <c r="M164" s="36">
        <f t="shared" si="8"/>
        <v>-357</v>
      </c>
    </row>
    <row r="165" spans="2:13">
      <c r="B165" s="16" t="s">
        <v>385</v>
      </c>
      <c r="C165" s="16" t="s">
        <v>1664</v>
      </c>
      <c r="D165" s="17">
        <v>44748</v>
      </c>
      <c r="E165" s="16" t="s">
        <v>1683</v>
      </c>
      <c r="F165" s="16" t="s">
        <v>1680</v>
      </c>
      <c r="G165" s="32">
        <v>250</v>
      </c>
      <c r="H165" s="16" t="s">
        <v>21</v>
      </c>
      <c r="I165" s="18">
        <v>3</v>
      </c>
      <c r="J165" s="19">
        <v>0.61362516317019999</v>
      </c>
      <c r="K165" s="32">
        <f t="shared" si="6"/>
        <v>750</v>
      </c>
      <c r="L165" s="32">
        <f t="shared" si="7"/>
        <v>290</v>
      </c>
      <c r="M165" s="37">
        <f t="shared" si="8"/>
        <v>-460</v>
      </c>
    </row>
    <row r="166" spans="2:13">
      <c r="B166" s="12" t="s">
        <v>387</v>
      </c>
      <c r="C166" s="12" t="s">
        <v>1666</v>
      </c>
      <c r="D166" s="13">
        <v>44731</v>
      </c>
      <c r="E166" s="12" t="s">
        <v>1684</v>
      </c>
      <c r="F166" s="12" t="s">
        <v>1680</v>
      </c>
      <c r="G166" s="31">
        <v>130</v>
      </c>
      <c r="H166" s="12" t="s">
        <v>26</v>
      </c>
      <c r="I166" s="14">
        <v>4</v>
      </c>
      <c r="J166" s="15">
        <v>0.81572623665656496</v>
      </c>
      <c r="K166" s="31">
        <f t="shared" si="6"/>
        <v>520</v>
      </c>
      <c r="L166" s="31">
        <f t="shared" si="7"/>
        <v>96</v>
      </c>
      <c r="M166" s="36">
        <f t="shared" si="8"/>
        <v>-424</v>
      </c>
    </row>
    <row r="167" spans="2:13">
      <c r="B167" s="16" t="s">
        <v>389</v>
      </c>
      <c r="C167" s="16" t="s">
        <v>1660</v>
      </c>
      <c r="D167" s="17">
        <v>44725</v>
      </c>
      <c r="E167" s="16" t="s">
        <v>1679</v>
      </c>
      <c r="F167" s="16" t="s">
        <v>1680</v>
      </c>
      <c r="G167" s="32">
        <v>72</v>
      </c>
      <c r="H167" s="16" t="s">
        <v>32</v>
      </c>
      <c r="I167" s="18">
        <v>11</v>
      </c>
      <c r="J167" s="19">
        <v>0.603947723087495</v>
      </c>
      <c r="K167" s="32">
        <f t="shared" si="6"/>
        <v>792</v>
      </c>
      <c r="L167" s="32">
        <f t="shared" si="7"/>
        <v>314</v>
      </c>
      <c r="M167" s="37">
        <f t="shared" si="8"/>
        <v>-478</v>
      </c>
    </row>
    <row r="168" spans="2:13">
      <c r="B168" s="12" t="s">
        <v>391</v>
      </c>
      <c r="C168" s="12" t="s">
        <v>1662</v>
      </c>
      <c r="D168" s="13">
        <v>44753</v>
      </c>
      <c r="E168" s="12" t="s">
        <v>1681</v>
      </c>
      <c r="F168" s="12" t="s">
        <v>1680</v>
      </c>
      <c r="G168" s="31">
        <v>65</v>
      </c>
      <c r="H168" s="12" t="s">
        <v>21</v>
      </c>
      <c r="I168" s="14">
        <v>7</v>
      </c>
      <c r="J168" s="15">
        <v>0.27166765426644002</v>
      </c>
      <c r="K168" s="31">
        <f t="shared" si="6"/>
        <v>455</v>
      </c>
      <c r="L168" s="31">
        <f t="shared" si="7"/>
        <v>331</v>
      </c>
      <c r="M168" s="36">
        <f t="shared" si="8"/>
        <v>-124</v>
      </c>
    </row>
    <row r="169" spans="2:13">
      <c r="B169" s="16" t="s">
        <v>393</v>
      </c>
      <c r="C169" s="16" t="s">
        <v>1664</v>
      </c>
      <c r="D169" s="17">
        <v>44738</v>
      </c>
      <c r="E169" s="16" t="s">
        <v>1683</v>
      </c>
      <c r="F169" s="16" t="s">
        <v>1680</v>
      </c>
      <c r="G169" s="32">
        <v>250</v>
      </c>
      <c r="H169" s="16" t="s">
        <v>26</v>
      </c>
      <c r="I169" s="18">
        <v>2</v>
      </c>
      <c r="J169" s="19">
        <v>0.56293228162406495</v>
      </c>
      <c r="K169" s="32">
        <f t="shared" si="6"/>
        <v>500</v>
      </c>
      <c r="L169" s="32">
        <f t="shared" si="7"/>
        <v>219</v>
      </c>
      <c r="M169" s="37">
        <f t="shared" si="8"/>
        <v>-281</v>
      </c>
    </row>
    <row r="170" spans="2:13">
      <c r="B170" s="12" t="s">
        <v>395</v>
      </c>
      <c r="C170" s="12" t="s">
        <v>1666</v>
      </c>
      <c r="D170" s="13">
        <v>44762</v>
      </c>
      <c r="E170" s="12" t="s">
        <v>1684</v>
      </c>
      <c r="F170" s="12" t="s">
        <v>1680</v>
      </c>
      <c r="G170" s="31">
        <v>130</v>
      </c>
      <c r="H170" s="12" t="s">
        <v>32</v>
      </c>
      <c r="I170" s="14">
        <v>4</v>
      </c>
      <c r="J170" s="15">
        <v>0.73579140219525896</v>
      </c>
      <c r="K170" s="31">
        <f t="shared" si="6"/>
        <v>520</v>
      </c>
      <c r="L170" s="31">
        <f t="shared" si="7"/>
        <v>137</v>
      </c>
      <c r="M170" s="36">
        <f t="shared" si="8"/>
        <v>-383</v>
      </c>
    </row>
    <row r="171" spans="2:13">
      <c r="B171" s="16" t="s">
        <v>397</v>
      </c>
      <c r="C171" s="16" t="s">
        <v>1668</v>
      </c>
      <c r="D171" s="17">
        <v>44756</v>
      </c>
      <c r="E171" s="16" t="s">
        <v>1685</v>
      </c>
      <c r="F171" s="16" t="s">
        <v>1680</v>
      </c>
      <c r="G171" s="32">
        <v>60</v>
      </c>
      <c r="H171" s="16" t="s">
        <v>21</v>
      </c>
      <c r="I171" s="18">
        <v>12</v>
      </c>
      <c r="J171" s="19">
        <v>0.44112931781121201</v>
      </c>
      <c r="K171" s="32">
        <f t="shared" si="6"/>
        <v>720</v>
      </c>
      <c r="L171" s="32">
        <f t="shared" si="7"/>
        <v>402</v>
      </c>
      <c r="M171" s="37">
        <f t="shared" si="8"/>
        <v>-318</v>
      </c>
    </row>
    <row r="172" spans="2:13">
      <c r="B172" s="12" t="s">
        <v>399</v>
      </c>
      <c r="C172" s="12" t="s">
        <v>1660</v>
      </c>
      <c r="D172" s="13">
        <v>44744</v>
      </c>
      <c r="E172" s="12" t="s">
        <v>1679</v>
      </c>
      <c r="F172" s="12" t="s">
        <v>1680</v>
      </c>
      <c r="G172" s="31">
        <v>72</v>
      </c>
      <c r="H172" s="12" t="s">
        <v>26</v>
      </c>
      <c r="I172" s="14">
        <v>11</v>
      </c>
      <c r="J172" s="15">
        <v>0.67026763876764905</v>
      </c>
      <c r="K172" s="31">
        <f t="shared" si="6"/>
        <v>792</v>
      </c>
      <c r="L172" s="31">
        <f t="shared" si="7"/>
        <v>261</v>
      </c>
      <c r="M172" s="36">
        <f t="shared" si="8"/>
        <v>-531</v>
      </c>
    </row>
    <row r="173" spans="2:13">
      <c r="B173" s="16" t="s">
        <v>401</v>
      </c>
      <c r="C173" s="16" t="s">
        <v>1662</v>
      </c>
      <c r="D173" s="17">
        <v>44753</v>
      </c>
      <c r="E173" s="16" t="s">
        <v>1681</v>
      </c>
      <c r="F173" s="16" t="s">
        <v>1680</v>
      </c>
      <c r="G173" s="32">
        <v>65</v>
      </c>
      <c r="H173" s="16" t="s">
        <v>32</v>
      </c>
      <c r="I173" s="18">
        <v>9</v>
      </c>
      <c r="J173" s="19">
        <v>0.215018428148193</v>
      </c>
      <c r="K173" s="32">
        <f t="shared" si="6"/>
        <v>585</v>
      </c>
      <c r="L173" s="32">
        <f t="shared" si="7"/>
        <v>459</v>
      </c>
      <c r="M173" s="37">
        <f t="shared" si="8"/>
        <v>-126</v>
      </c>
    </row>
    <row r="174" spans="2:13">
      <c r="B174" s="12" t="s">
        <v>403</v>
      </c>
      <c r="C174" s="12" t="s">
        <v>1664</v>
      </c>
      <c r="D174" s="13">
        <v>44762</v>
      </c>
      <c r="E174" s="12" t="s">
        <v>1683</v>
      </c>
      <c r="F174" s="12" t="s">
        <v>1682</v>
      </c>
      <c r="G174" s="31">
        <v>250</v>
      </c>
      <c r="H174" s="12" t="s">
        <v>21</v>
      </c>
      <c r="I174" s="14">
        <v>3</v>
      </c>
      <c r="J174" s="15">
        <v>0.77528388030776896</v>
      </c>
      <c r="K174" s="31">
        <f t="shared" si="6"/>
        <v>750</v>
      </c>
      <c r="L174" s="31">
        <f t="shared" si="7"/>
        <v>169</v>
      </c>
      <c r="M174" s="36">
        <f t="shared" si="8"/>
        <v>-581</v>
      </c>
    </row>
    <row r="175" spans="2:13">
      <c r="B175" s="16" t="s">
        <v>405</v>
      </c>
      <c r="C175" s="16" t="s">
        <v>1666</v>
      </c>
      <c r="D175" s="17">
        <v>44740</v>
      </c>
      <c r="E175" s="16" t="s">
        <v>1684</v>
      </c>
      <c r="F175" s="16" t="s">
        <v>1680</v>
      </c>
      <c r="G175" s="32">
        <v>130</v>
      </c>
      <c r="H175" s="16" t="s">
        <v>26</v>
      </c>
      <c r="I175" s="18">
        <v>3</v>
      </c>
      <c r="J175" s="19">
        <v>0.32334348690445702</v>
      </c>
      <c r="K175" s="32">
        <f t="shared" si="6"/>
        <v>390</v>
      </c>
      <c r="L175" s="32">
        <f t="shared" si="7"/>
        <v>264</v>
      </c>
      <c r="M175" s="37">
        <f t="shared" si="8"/>
        <v>-126</v>
      </c>
    </row>
    <row r="176" spans="2:13">
      <c r="B176" s="12" t="s">
        <v>407</v>
      </c>
      <c r="C176" s="12" t="s">
        <v>1660</v>
      </c>
      <c r="D176" s="13">
        <v>44729</v>
      </c>
      <c r="E176" s="12" t="s">
        <v>1679</v>
      </c>
      <c r="F176" s="12" t="s">
        <v>1680</v>
      </c>
      <c r="G176" s="31">
        <v>72</v>
      </c>
      <c r="H176" s="12" t="s">
        <v>32</v>
      </c>
      <c r="I176" s="14">
        <v>5</v>
      </c>
      <c r="J176" s="15">
        <v>0.21172763919714899</v>
      </c>
      <c r="K176" s="31">
        <f t="shared" si="6"/>
        <v>360</v>
      </c>
      <c r="L176" s="31">
        <f t="shared" si="7"/>
        <v>284</v>
      </c>
      <c r="M176" s="36">
        <f t="shared" si="8"/>
        <v>-76</v>
      </c>
    </row>
    <row r="177" spans="2:13">
      <c r="B177" s="16" t="s">
        <v>409</v>
      </c>
      <c r="C177" s="16" t="s">
        <v>1662</v>
      </c>
      <c r="D177" s="17">
        <v>44727</v>
      </c>
      <c r="E177" s="16" t="s">
        <v>1681</v>
      </c>
      <c r="F177" s="16" t="s">
        <v>1680</v>
      </c>
      <c r="G177" s="32">
        <v>65</v>
      </c>
      <c r="H177" s="16" t="s">
        <v>21</v>
      </c>
      <c r="I177" s="18">
        <v>10</v>
      </c>
      <c r="J177" s="19">
        <v>0.99817658128489695</v>
      </c>
      <c r="K177" s="32">
        <f t="shared" si="6"/>
        <v>650</v>
      </c>
      <c r="L177" s="32">
        <f t="shared" si="7"/>
        <v>1</v>
      </c>
      <c r="M177" s="37">
        <f t="shared" si="8"/>
        <v>-649</v>
      </c>
    </row>
    <row r="178" spans="2:13">
      <c r="B178" s="12" t="s">
        <v>411</v>
      </c>
      <c r="C178" s="12" t="s">
        <v>1664</v>
      </c>
      <c r="D178" s="13">
        <v>44734</v>
      </c>
      <c r="E178" s="12" t="s">
        <v>1683</v>
      </c>
      <c r="F178" s="12" t="s">
        <v>1680</v>
      </c>
      <c r="G178" s="31">
        <v>250</v>
      </c>
      <c r="H178" s="12" t="s">
        <v>26</v>
      </c>
      <c r="I178" s="14">
        <v>3</v>
      </c>
      <c r="J178" s="15">
        <v>0.34321661485625199</v>
      </c>
      <c r="K178" s="31">
        <f t="shared" si="6"/>
        <v>750</v>
      </c>
      <c r="L178" s="31">
        <f t="shared" si="7"/>
        <v>493</v>
      </c>
      <c r="M178" s="36">
        <f t="shared" si="8"/>
        <v>-257</v>
      </c>
    </row>
    <row r="179" spans="2:13">
      <c r="B179" s="16" t="s">
        <v>413</v>
      </c>
      <c r="C179" s="16" t="s">
        <v>1666</v>
      </c>
      <c r="D179" s="17">
        <v>44744</v>
      </c>
      <c r="E179" s="16" t="s">
        <v>1684</v>
      </c>
      <c r="F179" s="16" t="s">
        <v>1680</v>
      </c>
      <c r="G179" s="32">
        <v>130</v>
      </c>
      <c r="H179" s="16" t="s">
        <v>32</v>
      </c>
      <c r="I179" s="18">
        <v>6</v>
      </c>
      <c r="J179" s="19">
        <v>0.176883635536531</v>
      </c>
      <c r="K179" s="32">
        <f t="shared" si="6"/>
        <v>780</v>
      </c>
      <c r="L179" s="32">
        <f t="shared" si="7"/>
        <v>642</v>
      </c>
      <c r="M179" s="37">
        <f t="shared" si="8"/>
        <v>-138</v>
      </c>
    </row>
    <row r="180" spans="2:13">
      <c r="B180" s="12" t="s">
        <v>415</v>
      </c>
      <c r="C180" s="12" t="s">
        <v>1668</v>
      </c>
      <c r="D180" s="13">
        <v>44737</v>
      </c>
      <c r="E180" s="12" t="s">
        <v>1685</v>
      </c>
      <c r="F180" s="12" t="s">
        <v>1682</v>
      </c>
      <c r="G180" s="31">
        <v>60</v>
      </c>
      <c r="H180" s="12" t="s">
        <v>21</v>
      </c>
      <c r="I180" s="14">
        <v>12</v>
      </c>
      <c r="J180" s="15">
        <v>0.54853763527560695</v>
      </c>
      <c r="K180" s="31">
        <f t="shared" si="6"/>
        <v>720</v>
      </c>
      <c r="L180" s="31">
        <f t="shared" si="7"/>
        <v>325</v>
      </c>
      <c r="M180" s="36">
        <f t="shared" si="8"/>
        <v>-395</v>
      </c>
    </row>
    <row r="181" spans="2:13">
      <c r="B181" s="16" t="s">
        <v>417</v>
      </c>
      <c r="C181" s="16" t="s">
        <v>1669</v>
      </c>
      <c r="D181" s="17">
        <v>44752</v>
      </c>
      <c r="E181" s="16" t="s">
        <v>1686</v>
      </c>
      <c r="F181" s="16" t="s">
        <v>1680</v>
      </c>
      <c r="G181" s="32">
        <v>95</v>
      </c>
      <c r="H181" s="16" t="s">
        <v>26</v>
      </c>
      <c r="I181" s="18">
        <v>7</v>
      </c>
      <c r="J181" s="19">
        <v>0.40612729229894901</v>
      </c>
      <c r="K181" s="32">
        <f t="shared" si="6"/>
        <v>665</v>
      </c>
      <c r="L181" s="32">
        <f t="shared" si="7"/>
        <v>395</v>
      </c>
      <c r="M181" s="37">
        <f t="shared" si="8"/>
        <v>-270</v>
      </c>
    </row>
    <row r="182" spans="2:13">
      <c r="B182" s="12" t="s">
        <v>419</v>
      </c>
      <c r="C182" s="12" t="s">
        <v>1660</v>
      </c>
      <c r="D182" s="13">
        <v>44736</v>
      </c>
      <c r="E182" s="12" t="s">
        <v>1679</v>
      </c>
      <c r="F182" s="12" t="s">
        <v>1680</v>
      </c>
      <c r="G182" s="31">
        <v>72</v>
      </c>
      <c r="H182" s="12" t="s">
        <v>32</v>
      </c>
      <c r="I182" s="14">
        <v>6</v>
      </c>
      <c r="J182" s="15">
        <v>0.167803000896386</v>
      </c>
      <c r="K182" s="31">
        <f t="shared" si="6"/>
        <v>432</v>
      </c>
      <c r="L182" s="31">
        <f t="shared" si="7"/>
        <v>360</v>
      </c>
      <c r="M182" s="36">
        <f t="shared" si="8"/>
        <v>-72</v>
      </c>
    </row>
    <row r="183" spans="2:13">
      <c r="B183" s="16" t="s">
        <v>421</v>
      </c>
      <c r="C183" s="16" t="s">
        <v>1662</v>
      </c>
      <c r="D183" s="17">
        <v>44752</v>
      </c>
      <c r="E183" s="16" t="s">
        <v>1681</v>
      </c>
      <c r="F183" s="16" t="s">
        <v>1680</v>
      </c>
      <c r="G183" s="32">
        <v>65</v>
      </c>
      <c r="H183" s="16" t="s">
        <v>21</v>
      </c>
      <c r="I183" s="18">
        <v>10</v>
      </c>
      <c r="J183" s="19">
        <v>0.91086777790941598</v>
      </c>
      <c r="K183" s="32">
        <f t="shared" si="6"/>
        <v>650</v>
      </c>
      <c r="L183" s="32">
        <f t="shared" si="7"/>
        <v>58</v>
      </c>
      <c r="M183" s="37">
        <f t="shared" si="8"/>
        <v>-592</v>
      </c>
    </row>
    <row r="184" spans="2:13">
      <c r="B184" s="12" t="s">
        <v>423</v>
      </c>
      <c r="C184" s="12" t="s">
        <v>1664</v>
      </c>
      <c r="D184" s="13">
        <v>44759</v>
      </c>
      <c r="E184" s="12" t="s">
        <v>1683</v>
      </c>
      <c r="F184" s="12" t="s">
        <v>1682</v>
      </c>
      <c r="G184" s="31">
        <v>250</v>
      </c>
      <c r="H184" s="12" t="s">
        <v>26</v>
      </c>
      <c r="I184" s="14">
        <v>3</v>
      </c>
      <c r="J184" s="15">
        <v>0.27319854945368899</v>
      </c>
      <c r="K184" s="31">
        <f t="shared" si="6"/>
        <v>750</v>
      </c>
      <c r="L184" s="31">
        <f t="shared" si="7"/>
        <v>545</v>
      </c>
      <c r="M184" s="36">
        <f t="shared" si="8"/>
        <v>-205</v>
      </c>
    </row>
    <row r="185" spans="2:13">
      <c r="B185" s="16" t="s">
        <v>425</v>
      </c>
      <c r="C185" s="16" t="s">
        <v>1666</v>
      </c>
      <c r="D185" s="17">
        <v>44763</v>
      </c>
      <c r="E185" s="16" t="s">
        <v>1684</v>
      </c>
      <c r="F185" s="16" t="s">
        <v>1682</v>
      </c>
      <c r="G185" s="32">
        <v>130</v>
      </c>
      <c r="H185" s="16" t="s">
        <v>32</v>
      </c>
      <c r="I185" s="18">
        <v>4</v>
      </c>
      <c r="J185" s="19">
        <v>0.81984662786178397</v>
      </c>
      <c r="K185" s="32">
        <f t="shared" si="6"/>
        <v>520</v>
      </c>
      <c r="L185" s="32">
        <f t="shared" si="7"/>
        <v>94</v>
      </c>
      <c r="M185" s="37">
        <f t="shared" si="8"/>
        <v>-426</v>
      </c>
    </row>
    <row r="186" spans="2:13">
      <c r="B186" s="12" t="s">
        <v>427</v>
      </c>
      <c r="C186" s="12" t="s">
        <v>1660</v>
      </c>
      <c r="D186" s="13">
        <v>44763</v>
      </c>
      <c r="E186" s="12" t="s">
        <v>1679</v>
      </c>
      <c r="F186" s="12" t="s">
        <v>1682</v>
      </c>
      <c r="G186" s="31">
        <v>72</v>
      </c>
      <c r="H186" s="12" t="s">
        <v>21</v>
      </c>
      <c r="I186" s="14">
        <v>7</v>
      </c>
      <c r="J186" s="15">
        <v>0.899809340035437</v>
      </c>
      <c r="K186" s="31">
        <f t="shared" si="6"/>
        <v>504</v>
      </c>
      <c r="L186" s="31">
        <f t="shared" si="7"/>
        <v>50</v>
      </c>
      <c r="M186" s="36">
        <f t="shared" si="8"/>
        <v>-454</v>
      </c>
    </row>
    <row r="187" spans="2:13">
      <c r="B187" s="16" t="s">
        <v>429</v>
      </c>
      <c r="C187" s="16" t="s">
        <v>1662</v>
      </c>
      <c r="D187" s="17">
        <v>44750</v>
      </c>
      <c r="E187" s="16" t="s">
        <v>1681</v>
      </c>
      <c r="F187" s="16" t="s">
        <v>1682</v>
      </c>
      <c r="G187" s="32">
        <v>65</v>
      </c>
      <c r="H187" s="16" t="s">
        <v>26</v>
      </c>
      <c r="I187" s="18">
        <v>5</v>
      </c>
      <c r="J187" s="19">
        <v>0.73522347452625703</v>
      </c>
      <c r="K187" s="32">
        <f t="shared" si="6"/>
        <v>325</v>
      </c>
      <c r="L187" s="32">
        <f t="shared" si="7"/>
        <v>86</v>
      </c>
      <c r="M187" s="37">
        <f t="shared" si="8"/>
        <v>-239</v>
      </c>
    </row>
    <row r="188" spans="2:13">
      <c r="B188" s="12" t="s">
        <v>431</v>
      </c>
      <c r="C188" s="12" t="s">
        <v>1664</v>
      </c>
      <c r="D188" s="13">
        <v>44751</v>
      </c>
      <c r="E188" s="12" t="s">
        <v>1683</v>
      </c>
      <c r="F188" s="12" t="s">
        <v>1682</v>
      </c>
      <c r="G188" s="31">
        <v>250</v>
      </c>
      <c r="H188" s="12" t="s">
        <v>32</v>
      </c>
      <c r="I188" s="14">
        <v>3</v>
      </c>
      <c r="J188" s="15">
        <v>0.365792133389301</v>
      </c>
      <c r="K188" s="31">
        <f t="shared" si="6"/>
        <v>750</v>
      </c>
      <c r="L188" s="31">
        <f t="shared" si="7"/>
        <v>476</v>
      </c>
      <c r="M188" s="36">
        <f t="shared" si="8"/>
        <v>-274</v>
      </c>
    </row>
    <row r="189" spans="2:13">
      <c r="B189" s="16" t="s">
        <v>433</v>
      </c>
      <c r="C189" s="16" t="s">
        <v>1666</v>
      </c>
      <c r="D189" s="17">
        <v>44736</v>
      </c>
      <c r="E189" s="16" t="s">
        <v>1684</v>
      </c>
      <c r="F189" s="16" t="s">
        <v>1682</v>
      </c>
      <c r="G189" s="32">
        <v>130</v>
      </c>
      <c r="H189" s="16" t="s">
        <v>21</v>
      </c>
      <c r="I189" s="18">
        <v>2</v>
      </c>
      <c r="J189" s="19">
        <v>0.79313642440033205</v>
      </c>
      <c r="K189" s="32">
        <f t="shared" si="6"/>
        <v>260</v>
      </c>
      <c r="L189" s="32">
        <f t="shared" si="7"/>
        <v>54</v>
      </c>
      <c r="M189" s="37">
        <f t="shared" si="8"/>
        <v>-206</v>
      </c>
    </row>
    <row r="190" spans="2:13">
      <c r="B190" s="12" t="s">
        <v>435</v>
      </c>
      <c r="C190" s="12" t="s">
        <v>1660</v>
      </c>
      <c r="D190" s="13">
        <v>44737</v>
      </c>
      <c r="E190" s="12" t="s">
        <v>1679</v>
      </c>
      <c r="F190" s="12" t="s">
        <v>1680</v>
      </c>
      <c r="G190" s="31">
        <v>72</v>
      </c>
      <c r="H190" s="12" t="s">
        <v>21</v>
      </c>
      <c r="I190" s="14">
        <v>4</v>
      </c>
      <c r="J190" s="15">
        <v>8.04076649795646E-2</v>
      </c>
      <c r="K190" s="31">
        <f t="shared" si="6"/>
        <v>288</v>
      </c>
      <c r="L190" s="31">
        <f t="shared" si="7"/>
        <v>265</v>
      </c>
      <c r="M190" s="36">
        <f t="shared" si="8"/>
        <v>-23</v>
      </c>
    </row>
    <row r="191" spans="2:13">
      <c r="B191" s="16" t="s">
        <v>437</v>
      </c>
      <c r="C191" s="16" t="s">
        <v>1662</v>
      </c>
      <c r="D191" s="17">
        <v>44744</v>
      </c>
      <c r="E191" s="16" t="s">
        <v>1681</v>
      </c>
      <c r="F191" s="16" t="s">
        <v>1682</v>
      </c>
      <c r="G191" s="32">
        <v>65</v>
      </c>
      <c r="H191" s="16" t="s">
        <v>26</v>
      </c>
      <c r="I191" s="18">
        <v>12</v>
      </c>
      <c r="J191" s="19">
        <v>0.38525936096781799</v>
      </c>
      <c r="K191" s="32">
        <f t="shared" si="6"/>
        <v>780</v>
      </c>
      <c r="L191" s="32">
        <f t="shared" si="7"/>
        <v>479</v>
      </c>
      <c r="M191" s="37">
        <f t="shared" si="8"/>
        <v>-301</v>
      </c>
    </row>
    <row r="192" spans="2:13">
      <c r="B192" s="12" t="s">
        <v>439</v>
      </c>
      <c r="C192" s="12" t="s">
        <v>1664</v>
      </c>
      <c r="D192" s="13">
        <v>44735</v>
      </c>
      <c r="E192" s="12" t="s">
        <v>1683</v>
      </c>
      <c r="F192" s="12" t="s">
        <v>1680</v>
      </c>
      <c r="G192" s="31">
        <v>250</v>
      </c>
      <c r="H192" s="12" t="s">
        <v>32</v>
      </c>
      <c r="I192" s="14">
        <v>1</v>
      </c>
      <c r="J192" s="15">
        <v>0.45507177071325899</v>
      </c>
      <c r="K192" s="31">
        <f t="shared" si="6"/>
        <v>250</v>
      </c>
      <c r="L192" s="31">
        <f t="shared" si="7"/>
        <v>136</v>
      </c>
      <c r="M192" s="36">
        <f t="shared" si="8"/>
        <v>-114</v>
      </c>
    </row>
    <row r="193" spans="2:13">
      <c r="B193" s="16" t="s">
        <v>441</v>
      </c>
      <c r="C193" s="16" t="s">
        <v>1666</v>
      </c>
      <c r="D193" s="17">
        <v>44751</v>
      </c>
      <c r="E193" s="16" t="s">
        <v>1684</v>
      </c>
      <c r="F193" s="16" t="s">
        <v>1682</v>
      </c>
      <c r="G193" s="32">
        <v>130</v>
      </c>
      <c r="H193" s="16" t="s">
        <v>21</v>
      </c>
      <c r="I193" s="18">
        <v>4</v>
      </c>
      <c r="J193" s="19">
        <v>0.93827031337312095</v>
      </c>
      <c r="K193" s="32">
        <f t="shared" si="6"/>
        <v>520</v>
      </c>
      <c r="L193" s="32">
        <f t="shared" si="7"/>
        <v>32</v>
      </c>
      <c r="M193" s="37">
        <f t="shared" si="8"/>
        <v>-488</v>
      </c>
    </row>
    <row r="194" spans="2:13">
      <c r="B194" s="12" t="s">
        <v>443</v>
      </c>
      <c r="C194" s="12" t="s">
        <v>1660</v>
      </c>
      <c r="D194" s="13">
        <v>44726</v>
      </c>
      <c r="E194" s="12" t="s">
        <v>1679</v>
      </c>
      <c r="F194" s="12" t="s">
        <v>1680</v>
      </c>
      <c r="G194" s="31">
        <v>72</v>
      </c>
      <c r="H194" s="12" t="s">
        <v>26</v>
      </c>
      <c r="I194" s="14">
        <v>7</v>
      </c>
      <c r="J194" s="15">
        <v>0.14716035331194999</v>
      </c>
      <c r="K194" s="31">
        <f t="shared" si="6"/>
        <v>504</v>
      </c>
      <c r="L194" s="31">
        <f t="shared" si="7"/>
        <v>430</v>
      </c>
      <c r="M194" s="36">
        <f t="shared" si="8"/>
        <v>-74</v>
      </c>
    </row>
    <row r="195" spans="2:13">
      <c r="B195" s="16" t="s">
        <v>445</v>
      </c>
      <c r="C195" s="16" t="s">
        <v>1662</v>
      </c>
      <c r="D195" s="17">
        <v>44749</v>
      </c>
      <c r="E195" s="16" t="s">
        <v>1681</v>
      </c>
      <c r="F195" s="16" t="s">
        <v>1682</v>
      </c>
      <c r="G195" s="32">
        <v>65</v>
      </c>
      <c r="H195" s="16" t="s">
        <v>32</v>
      </c>
      <c r="I195" s="18">
        <v>12</v>
      </c>
      <c r="J195" s="19">
        <v>0.101598670430136</v>
      </c>
      <c r="K195" s="32">
        <f t="shared" si="6"/>
        <v>780</v>
      </c>
      <c r="L195" s="32">
        <f t="shared" si="7"/>
        <v>701</v>
      </c>
      <c r="M195" s="37">
        <f t="shared" si="8"/>
        <v>-79</v>
      </c>
    </row>
    <row r="196" spans="2:13">
      <c r="B196" s="12" t="s">
        <v>447</v>
      </c>
      <c r="C196" s="12" t="s">
        <v>1664</v>
      </c>
      <c r="D196" s="13">
        <v>44734</v>
      </c>
      <c r="E196" s="12" t="s">
        <v>1683</v>
      </c>
      <c r="F196" s="12" t="s">
        <v>1680</v>
      </c>
      <c r="G196" s="31">
        <v>250</v>
      </c>
      <c r="H196" s="12" t="s">
        <v>21</v>
      </c>
      <c r="I196" s="14">
        <v>2</v>
      </c>
      <c r="J196" s="15">
        <v>0.50060788399709499</v>
      </c>
      <c r="K196" s="31">
        <f t="shared" si="6"/>
        <v>500</v>
      </c>
      <c r="L196" s="31">
        <f t="shared" si="7"/>
        <v>250</v>
      </c>
      <c r="M196" s="36">
        <f t="shared" si="8"/>
        <v>-250</v>
      </c>
    </row>
    <row r="197" spans="2:13">
      <c r="B197" s="16" t="s">
        <v>449</v>
      </c>
      <c r="C197" s="16" t="s">
        <v>1666</v>
      </c>
      <c r="D197" s="17">
        <v>44726</v>
      </c>
      <c r="E197" s="16" t="s">
        <v>1684</v>
      </c>
      <c r="F197" s="16" t="s">
        <v>1682</v>
      </c>
      <c r="G197" s="32">
        <v>130</v>
      </c>
      <c r="H197" s="16" t="s">
        <v>26</v>
      </c>
      <c r="I197" s="18">
        <v>6</v>
      </c>
      <c r="J197" s="19">
        <v>0.70539643021834597</v>
      </c>
      <c r="K197" s="32">
        <f t="shared" si="6"/>
        <v>780</v>
      </c>
      <c r="L197" s="32">
        <f t="shared" si="7"/>
        <v>230</v>
      </c>
      <c r="M197" s="37">
        <f t="shared" si="8"/>
        <v>-550</v>
      </c>
    </row>
    <row r="198" spans="2:13">
      <c r="B198" s="12" t="s">
        <v>451</v>
      </c>
      <c r="C198" s="12" t="s">
        <v>1668</v>
      </c>
      <c r="D198" s="13">
        <v>44743</v>
      </c>
      <c r="E198" s="12" t="s">
        <v>1685</v>
      </c>
      <c r="F198" s="12" t="s">
        <v>1680</v>
      </c>
      <c r="G198" s="31">
        <v>60</v>
      </c>
      <c r="H198" s="12" t="s">
        <v>32</v>
      </c>
      <c r="I198" s="14">
        <v>12</v>
      </c>
      <c r="J198" s="15">
        <v>0.72481379032239401</v>
      </c>
      <c r="K198" s="31">
        <f t="shared" ref="K198:K261" si="9">PRODUCT(I198,G198)</f>
        <v>720</v>
      </c>
      <c r="L198" s="31">
        <f t="shared" ref="L198:L261" si="10">ROUND(K198*(1-J198),0)</f>
        <v>198</v>
      </c>
      <c r="M198" s="36">
        <f t="shared" si="8"/>
        <v>-522</v>
      </c>
    </row>
    <row r="199" spans="2:13">
      <c r="B199" s="16" t="s">
        <v>453</v>
      </c>
      <c r="C199" s="16" t="s">
        <v>1660</v>
      </c>
      <c r="D199" s="17">
        <v>44742</v>
      </c>
      <c r="E199" s="16" t="s">
        <v>1679</v>
      </c>
      <c r="F199" s="16" t="s">
        <v>1682</v>
      </c>
      <c r="G199" s="32">
        <v>72</v>
      </c>
      <c r="H199" s="16" t="s">
        <v>21</v>
      </c>
      <c r="I199" s="18">
        <v>6</v>
      </c>
      <c r="J199" s="19">
        <v>0.21833121955544499</v>
      </c>
      <c r="K199" s="32">
        <f t="shared" si="9"/>
        <v>432</v>
      </c>
      <c r="L199" s="32">
        <f t="shared" si="10"/>
        <v>338</v>
      </c>
      <c r="M199" s="37">
        <f t="shared" ref="M199:M262" si="11">ROUND(L199-K199,0)</f>
        <v>-94</v>
      </c>
    </row>
    <row r="200" spans="2:13">
      <c r="B200" s="12" t="s">
        <v>455</v>
      </c>
      <c r="C200" s="12" t="s">
        <v>1662</v>
      </c>
      <c r="D200" s="13">
        <v>44747</v>
      </c>
      <c r="E200" s="12" t="s">
        <v>1681</v>
      </c>
      <c r="F200" s="12" t="s">
        <v>1680</v>
      </c>
      <c r="G200" s="31">
        <v>65</v>
      </c>
      <c r="H200" s="12" t="s">
        <v>26</v>
      </c>
      <c r="I200" s="14">
        <v>8</v>
      </c>
      <c r="J200" s="15">
        <v>0.33253524453952898</v>
      </c>
      <c r="K200" s="31">
        <f t="shared" si="9"/>
        <v>520</v>
      </c>
      <c r="L200" s="31">
        <f t="shared" si="10"/>
        <v>347</v>
      </c>
      <c r="M200" s="36">
        <f t="shared" si="11"/>
        <v>-173</v>
      </c>
    </row>
    <row r="201" spans="2:13">
      <c r="B201" s="16" t="s">
        <v>457</v>
      </c>
      <c r="C201" s="16" t="s">
        <v>1664</v>
      </c>
      <c r="D201" s="17">
        <v>44764</v>
      </c>
      <c r="E201" s="16" t="s">
        <v>1683</v>
      </c>
      <c r="F201" s="16" t="s">
        <v>1682</v>
      </c>
      <c r="G201" s="32">
        <v>250</v>
      </c>
      <c r="H201" s="16" t="s">
        <v>32</v>
      </c>
      <c r="I201" s="18">
        <v>2</v>
      </c>
      <c r="J201" s="19">
        <v>0.39793552100288998</v>
      </c>
      <c r="K201" s="32">
        <f t="shared" si="9"/>
        <v>500</v>
      </c>
      <c r="L201" s="32">
        <f t="shared" si="10"/>
        <v>301</v>
      </c>
      <c r="M201" s="37">
        <f t="shared" si="11"/>
        <v>-199</v>
      </c>
    </row>
    <row r="202" spans="2:13">
      <c r="B202" s="12" t="s">
        <v>459</v>
      </c>
      <c r="C202" s="12" t="s">
        <v>1666</v>
      </c>
      <c r="D202" s="13">
        <v>44735</v>
      </c>
      <c r="E202" s="12" t="s">
        <v>1684</v>
      </c>
      <c r="F202" s="12" t="s">
        <v>1680</v>
      </c>
      <c r="G202" s="31">
        <v>130</v>
      </c>
      <c r="H202" s="12" t="s">
        <v>21</v>
      </c>
      <c r="I202" s="14">
        <v>4</v>
      </c>
      <c r="J202" s="15">
        <v>0.83519533088641296</v>
      </c>
      <c r="K202" s="31">
        <f t="shared" si="9"/>
        <v>520</v>
      </c>
      <c r="L202" s="31">
        <f t="shared" si="10"/>
        <v>86</v>
      </c>
      <c r="M202" s="36">
        <f t="shared" si="11"/>
        <v>-434</v>
      </c>
    </row>
    <row r="203" spans="2:13">
      <c r="B203" s="16" t="s">
        <v>461</v>
      </c>
      <c r="C203" s="16" t="s">
        <v>1660</v>
      </c>
      <c r="D203" s="17">
        <v>44737</v>
      </c>
      <c r="E203" s="16" t="s">
        <v>1679</v>
      </c>
      <c r="F203" s="16" t="s">
        <v>1682</v>
      </c>
      <c r="G203" s="32">
        <v>72</v>
      </c>
      <c r="H203" s="16" t="s">
        <v>26</v>
      </c>
      <c r="I203" s="18">
        <v>10</v>
      </c>
      <c r="J203" s="19">
        <v>8.7312208799101808E-3</v>
      </c>
      <c r="K203" s="32">
        <f t="shared" si="9"/>
        <v>720</v>
      </c>
      <c r="L203" s="32">
        <f t="shared" si="10"/>
        <v>714</v>
      </c>
      <c r="M203" s="37">
        <f t="shared" si="11"/>
        <v>-6</v>
      </c>
    </row>
    <row r="204" spans="2:13">
      <c r="B204" s="12" t="s">
        <v>463</v>
      </c>
      <c r="C204" s="12" t="s">
        <v>1662</v>
      </c>
      <c r="D204" s="13">
        <v>44749</v>
      </c>
      <c r="E204" s="12" t="s">
        <v>1681</v>
      </c>
      <c r="F204" s="12" t="s">
        <v>1680</v>
      </c>
      <c r="G204" s="31">
        <v>65</v>
      </c>
      <c r="H204" s="12" t="s">
        <v>32</v>
      </c>
      <c r="I204" s="14">
        <v>12</v>
      </c>
      <c r="J204" s="15">
        <v>0.95071636556912698</v>
      </c>
      <c r="K204" s="31">
        <f t="shared" si="9"/>
        <v>780</v>
      </c>
      <c r="L204" s="31">
        <f t="shared" si="10"/>
        <v>38</v>
      </c>
      <c r="M204" s="36">
        <f t="shared" si="11"/>
        <v>-742</v>
      </c>
    </row>
    <row r="205" spans="2:13">
      <c r="B205" s="16" t="s">
        <v>465</v>
      </c>
      <c r="C205" s="16" t="s">
        <v>1664</v>
      </c>
      <c r="D205" s="17">
        <v>44729</v>
      </c>
      <c r="E205" s="16" t="s">
        <v>1683</v>
      </c>
      <c r="F205" s="16" t="s">
        <v>1682</v>
      </c>
      <c r="G205" s="32">
        <v>250</v>
      </c>
      <c r="H205" s="16" t="s">
        <v>21</v>
      </c>
      <c r="I205" s="18">
        <v>4</v>
      </c>
      <c r="J205" s="19">
        <v>6.51107708719392E-2</v>
      </c>
      <c r="K205" s="32">
        <f t="shared" si="9"/>
        <v>1000</v>
      </c>
      <c r="L205" s="32">
        <f t="shared" si="10"/>
        <v>935</v>
      </c>
      <c r="M205" s="37">
        <f t="shared" si="11"/>
        <v>-65</v>
      </c>
    </row>
    <row r="206" spans="2:13">
      <c r="B206" s="12" t="s">
        <v>467</v>
      </c>
      <c r="C206" s="12" t="s">
        <v>1666</v>
      </c>
      <c r="D206" s="13">
        <v>44738</v>
      </c>
      <c r="E206" s="12" t="s">
        <v>1684</v>
      </c>
      <c r="F206" s="12" t="s">
        <v>1680</v>
      </c>
      <c r="G206" s="31">
        <v>130</v>
      </c>
      <c r="H206" s="12" t="s">
        <v>26</v>
      </c>
      <c r="I206" s="14">
        <v>6</v>
      </c>
      <c r="J206" s="15">
        <v>0.437720245132658</v>
      </c>
      <c r="K206" s="31">
        <f t="shared" si="9"/>
        <v>780</v>
      </c>
      <c r="L206" s="31">
        <f t="shared" si="10"/>
        <v>439</v>
      </c>
      <c r="M206" s="36">
        <f t="shared" si="11"/>
        <v>-341</v>
      </c>
    </row>
    <row r="207" spans="2:13">
      <c r="B207" s="16" t="s">
        <v>469</v>
      </c>
      <c r="C207" s="16" t="s">
        <v>1668</v>
      </c>
      <c r="D207" s="17">
        <v>44740</v>
      </c>
      <c r="E207" s="16" t="s">
        <v>1685</v>
      </c>
      <c r="F207" s="16" t="s">
        <v>1680</v>
      </c>
      <c r="G207" s="32">
        <v>60</v>
      </c>
      <c r="H207" s="16" t="s">
        <v>32</v>
      </c>
      <c r="I207" s="18">
        <v>7</v>
      </c>
      <c r="J207" s="19">
        <v>0.41853663840169503</v>
      </c>
      <c r="K207" s="32">
        <f t="shared" si="9"/>
        <v>420</v>
      </c>
      <c r="L207" s="32">
        <f t="shared" si="10"/>
        <v>244</v>
      </c>
      <c r="M207" s="37">
        <f t="shared" si="11"/>
        <v>-176</v>
      </c>
    </row>
    <row r="208" spans="2:13">
      <c r="B208" s="12" t="s">
        <v>471</v>
      </c>
      <c r="C208" s="12" t="s">
        <v>1669</v>
      </c>
      <c r="D208" s="13">
        <v>44755</v>
      </c>
      <c r="E208" s="12" t="s">
        <v>1686</v>
      </c>
      <c r="F208" s="12" t="s">
        <v>1682</v>
      </c>
      <c r="G208" s="31">
        <v>95</v>
      </c>
      <c r="H208" s="12" t="s">
        <v>21</v>
      </c>
      <c r="I208" s="14">
        <v>7</v>
      </c>
      <c r="J208" s="15">
        <v>0.38824165845812802</v>
      </c>
      <c r="K208" s="31">
        <f t="shared" si="9"/>
        <v>665</v>
      </c>
      <c r="L208" s="31">
        <f t="shared" si="10"/>
        <v>407</v>
      </c>
      <c r="M208" s="36">
        <f t="shared" si="11"/>
        <v>-258</v>
      </c>
    </row>
    <row r="209" spans="2:13">
      <c r="B209" s="16" t="s">
        <v>473</v>
      </c>
      <c r="C209" s="16" t="s">
        <v>1660</v>
      </c>
      <c r="D209" s="17">
        <v>44755</v>
      </c>
      <c r="E209" s="16" t="s">
        <v>1679</v>
      </c>
      <c r="F209" s="16" t="s">
        <v>1682</v>
      </c>
      <c r="G209" s="32">
        <v>72</v>
      </c>
      <c r="H209" s="16" t="s">
        <v>26</v>
      </c>
      <c r="I209" s="18">
        <v>3</v>
      </c>
      <c r="J209" s="19">
        <v>0.75434060698733896</v>
      </c>
      <c r="K209" s="32">
        <f t="shared" si="9"/>
        <v>216</v>
      </c>
      <c r="L209" s="32">
        <f t="shared" si="10"/>
        <v>53</v>
      </c>
      <c r="M209" s="37">
        <f t="shared" si="11"/>
        <v>-163</v>
      </c>
    </row>
    <row r="210" spans="2:13">
      <c r="B210" s="12" t="s">
        <v>475</v>
      </c>
      <c r="C210" s="12" t="s">
        <v>1662</v>
      </c>
      <c r="D210" s="13">
        <v>44764</v>
      </c>
      <c r="E210" s="12" t="s">
        <v>1681</v>
      </c>
      <c r="F210" s="12" t="s">
        <v>1682</v>
      </c>
      <c r="G210" s="31">
        <v>65</v>
      </c>
      <c r="H210" s="12" t="s">
        <v>32</v>
      </c>
      <c r="I210" s="14">
        <v>12</v>
      </c>
      <c r="J210" s="15">
        <v>0.61587381700020505</v>
      </c>
      <c r="K210" s="31">
        <f t="shared" si="9"/>
        <v>780</v>
      </c>
      <c r="L210" s="31">
        <f t="shared" si="10"/>
        <v>300</v>
      </c>
      <c r="M210" s="36">
        <f t="shared" si="11"/>
        <v>-480</v>
      </c>
    </row>
    <row r="211" spans="2:13">
      <c r="B211" s="16" t="s">
        <v>477</v>
      </c>
      <c r="C211" s="16" t="s">
        <v>1664</v>
      </c>
      <c r="D211" s="17">
        <v>44735</v>
      </c>
      <c r="E211" s="16" t="s">
        <v>1683</v>
      </c>
      <c r="F211" s="16" t="s">
        <v>1680</v>
      </c>
      <c r="G211" s="32">
        <v>250</v>
      </c>
      <c r="H211" s="16" t="s">
        <v>21</v>
      </c>
      <c r="I211" s="18">
        <v>2</v>
      </c>
      <c r="J211" s="19">
        <v>0.80006888756762495</v>
      </c>
      <c r="K211" s="32">
        <f t="shared" si="9"/>
        <v>500</v>
      </c>
      <c r="L211" s="32">
        <f t="shared" si="10"/>
        <v>100</v>
      </c>
      <c r="M211" s="37">
        <f t="shared" si="11"/>
        <v>-400</v>
      </c>
    </row>
    <row r="212" spans="2:13">
      <c r="B212" s="12" t="s">
        <v>479</v>
      </c>
      <c r="C212" s="12" t="s">
        <v>1666</v>
      </c>
      <c r="D212" s="13">
        <v>44734</v>
      </c>
      <c r="E212" s="12" t="s">
        <v>1684</v>
      </c>
      <c r="F212" s="12" t="s">
        <v>1680</v>
      </c>
      <c r="G212" s="31">
        <v>130</v>
      </c>
      <c r="H212" s="12" t="s">
        <v>26</v>
      </c>
      <c r="I212" s="14">
        <v>5</v>
      </c>
      <c r="J212" s="15">
        <v>0.68228949683615203</v>
      </c>
      <c r="K212" s="31">
        <f t="shared" si="9"/>
        <v>650</v>
      </c>
      <c r="L212" s="31">
        <f t="shared" si="10"/>
        <v>207</v>
      </c>
      <c r="M212" s="36">
        <f t="shared" si="11"/>
        <v>-443</v>
      </c>
    </row>
    <row r="213" spans="2:13">
      <c r="B213" s="16" t="s">
        <v>481</v>
      </c>
      <c r="C213" s="16" t="s">
        <v>1660</v>
      </c>
      <c r="D213" s="17">
        <v>44728</v>
      </c>
      <c r="E213" s="16" t="s">
        <v>1679</v>
      </c>
      <c r="F213" s="16" t="s">
        <v>1680</v>
      </c>
      <c r="G213" s="32">
        <v>72</v>
      </c>
      <c r="H213" s="16" t="s">
        <v>32</v>
      </c>
      <c r="I213" s="18">
        <v>10</v>
      </c>
      <c r="J213" s="19">
        <v>1.6479509006877301E-2</v>
      </c>
      <c r="K213" s="32">
        <f t="shared" si="9"/>
        <v>720</v>
      </c>
      <c r="L213" s="32">
        <f t="shared" si="10"/>
        <v>708</v>
      </c>
      <c r="M213" s="37">
        <f t="shared" si="11"/>
        <v>-12</v>
      </c>
    </row>
    <row r="214" spans="2:13">
      <c r="B214" s="12" t="s">
        <v>483</v>
      </c>
      <c r="C214" s="12" t="s">
        <v>1662</v>
      </c>
      <c r="D214" s="13">
        <v>44739</v>
      </c>
      <c r="E214" s="12" t="s">
        <v>1681</v>
      </c>
      <c r="F214" s="12" t="s">
        <v>1680</v>
      </c>
      <c r="G214" s="31">
        <v>65</v>
      </c>
      <c r="H214" s="12" t="s">
        <v>21</v>
      </c>
      <c r="I214" s="14">
        <v>10</v>
      </c>
      <c r="J214" s="15">
        <v>0.230781238931274</v>
      </c>
      <c r="K214" s="31">
        <f t="shared" si="9"/>
        <v>650</v>
      </c>
      <c r="L214" s="31">
        <f t="shared" si="10"/>
        <v>500</v>
      </c>
      <c r="M214" s="36">
        <f t="shared" si="11"/>
        <v>-150</v>
      </c>
    </row>
    <row r="215" spans="2:13">
      <c r="B215" s="16" t="s">
        <v>485</v>
      </c>
      <c r="C215" s="16" t="s">
        <v>1664</v>
      </c>
      <c r="D215" s="17">
        <v>44765</v>
      </c>
      <c r="E215" s="16" t="s">
        <v>1683</v>
      </c>
      <c r="F215" s="16" t="s">
        <v>1680</v>
      </c>
      <c r="G215" s="32">
        <v>250</v>
      </c>
      <c r="H215" s="16" t="s">
        <v>26</v>
      </c>
      <c r="I215" s="18">
        <v>3</v>
      </c>
      <c r="J215" s="19">
        <v>2.2225272121484702E-2</v>
      </c>
      <c r="K215" s="32">
        <f t="shared" si="9"/>
        <v>750</v>
      </c>
      <c r="L215" s="32">
        <f t="shared" si="10"/>
        <v>733</v>
      </c>
      <c r="M215" s="37">
        <f t="shared" si="11"/>
        <v>-17</v>
      </c>
    </row>
    <row r="216" spans="2:13">
      <c r="B216" s="12" t="s">
        <v>487</v>
      </c>
      <c r="C216" s="12" t="s">
        <v>1666</v>
      </c>
      <c r="D216" s="13">
        <v>44740</v>
      </c>
      <c r="E216" s="12" t="s">
        <v>1684</v>
      </c>
      <c r="F216" s="12" t="s">
        <v>1680</v>
      </c>
      <c r="G216" s="31">
        <v>130</v>
      </c>
      <c r="H216" s="12" t="s">
        <v>32</v>
      </c>
      <c r="I216" s="14">
        <v>3</v>
      </c>
      <c r="J216" s="15">
        <v>0.72206439626516805</v>
      </c>
      <c r="K216" s="31">
        <f t="shared" si="9"/>
        <v>390</v>
      </c>
      <c r="L216" s="31">
        <f t="shared" si="10"/>
        <v>108</v>
      </c>
      <c r="M216" s="36">
        <f t="shared" si="11"/>
        <v>-282</v>
      </c>
    </row>
    <row r="217" spans="2:13">
      <c r="B217" s="16" t="s">
        <v>489</v>
      </c>
      <c r="C217" s="16" t="s">
        <v>1668</v>
      </c>
      <c r="D217" s="17">
        <v>44734</v>
      </c>
      <c r="E217" s="16" t="s">
        <v>1685</v>
      </c>
      <c r="F217" s="16" t="s">
        <v>1680</v>
      </c>
      <c r="G217" s="32">
        <v>60</v>
      </c>
      <c r="H217" s="16" t="s">
        <v>21</v>
      </c>
      <c r="I217" s="18">
        <v>7</v>
      </c>
      <c r="J217" s="19">
        <v>0.66067744665264705</v>
      </c>
      <c r="K217" s="32">
        <f t="shared" si="9"/>
        <v>420</v>
      </c>
      <c r="L217" s="32">
        <f t="shared" si="10"/>
        <v>143</v>
      </c>
      <c r="M217" s="37">
        <f t="shared" si="11"/>
        <v>-277</v>
      </c>
    </row>
    <row r="218" spans="2:13">
      <c r="B218" s="12" t="s">
        <v>491</v>
      </c>
      <c r="C218" s="12" t="s">
        <v>1660</v>
      </c>
      <c r="D218" s="13">
        <v>44727</v>
      </c>
      <c r="E218" s="12" t="s">
        <v>1679</v>
      </c>
      <c r="F218" s="12" t="s">
        <v>1680</v>
      </c>
      <c r="G218" s="31">
        <v>72</v>
      </c>
      <c r="H218" s="12" t="s">
        <v>26</v>
      </c>
      <c r="I218" s="14">
        <v>6</v>
      </c>
      <c r="J218" s="15">
        <v>0.14048396352986101</v>
      </c>
      <c r="K218" s="31">
        <f t="shared" si="9"/>
        <v>432</v>
      </c>
      <c r="L218" s="31">
        <f t="shared" si="10"/>
        <v>371</v>
      </c>
      <c r="M218" s="36">
        <f t="shared" si="11"/>
        <v>-61</v>
      </c>
    </row>
    <row r="219" spans="2:13">
      <c r="B219" s="16" t="s">
        <v>493</v>
      </c>
      <c r="C219" s="16" t="s">
        <v>1662</v>
      </c>
      <c r="D219" s="17">
        <v>44737</v>
      </c>
      <c r="E219" s="16" t="s">
        <v>1681</v>
      </c>
      <c r="F219" s="16" t="s">
        <v>1680</v>
      </c>
      <c r="G219" s="32">
        <v>65</v>
      </c>
      <c r="H219" s="16" t="s">
        <v>32</v>
      </c>
      <c r="I219" s="18">
        <v>8</v>
      </c>
      <c r="J219" s="19">
        <v>0.37872981249566801</v>
      </c>
      <c r="K219" s="32">
        <f t="shared" si="9"/>
        <v>520</v>
      </c>
      <c r="L219" s="32">
        <f t="shared" si="10"/>
        <v>323</v>
      </c>
      <c r="M219" s="37">
        <f t="shared" si="11"/>
        <v>-197</v>
      </c>
    </row>
    <row r="220" spans="2:13">
      <c r="B220" s="12" t="s">
        <v>495</v>
      </c>
      <c r="C220" s="12" t="s">
        <v>1664</v>
      </c>
      <c r="D220" s="13">
        <v>44747</v>
      </c>
      <c r="E220" s="12" t="s">
        <v>1683</v>
      </c>
      <c r="F220" s="12" t="s">
        <v>1682</v>
      </c>
      <c r="G220" s="31">
        <v>250</v>
      </c>
      <c r="H220" s="12" t="s">
        <v>21</v>
      </c>
      <c r="I220" s="14">
        <v>2</v>
      </c>
      <c r="J220" s="15">
        <v>0.71515589694127502</v>
      </c>
      <c r="K220" s="31">
        <f t="shared" si="9"/>
        <v>500</v>
      </c>
      <c r="L220" s="31">
        <f t="shared" si="10"/>
        <v>142</v>
      </c>
      <c r="M220" s="36">
        <f t="shared" si="11"/>
        <v>-358</v>
      </c>
    </row>
    <row r="221" spans="2:13">
      <c r="B221" s="16" t="s">
        <v>497</v>
      </c>
      <c r="C221" s="16" t="s">
        <v>1666</v>
      </c>
      <c r="D221" s="17">
        <v>44754</v>
      </c>
      <c r="E221" s="16" t="s">
        <v>1684</v>
      </c>
      <c r="F221" s="16" t="s">
        <v>1680</v>
      </c>
      <c r="G221" s="32">
        <v>130</v>
      </c>
      <c r="H221" s="16" t="s">
        <v>26</v>
      </c>
      <c r="I221" s="18">
        <v>6</v>
      </c>
      <c r="J221" s="19">
        <v>0.21412519358799301</v>
      </c>
      <c r="K221" s="32">
        <f t="shared" si="9"/>
        <v>780</v>
      </c>
      <c r="L221" s="32">
        <f t="shared" si="10"/>
        <v>613</v>
      </c>
      <c r="M221" s="37">
        <f t="shared" si="11"/>
        <v>-167</v>
      </c>
    </row>
    <row r="222" spans="2:13">
      <c r="B222" s="12" t="s">
        <v>499</v>
      </c>
      <c r="C222" s="12" t="s">
        <v>1660</v>
      </c>
      <c r="D222" s="13">
        <v>44760</v>
      </c>
      <c r="E222" s="12" t="s">
        <v>1679</v>
      </c>
      <c r="F222" s="12" t="s">
        <v>1680</v>
      </c>
      <c r="G222" s="31">
        <v>72</v>
      </c>
      <c r="H222" s="12" t="s">
        <v>32</v>
      </c>
      <c r="I222" s="14">
        <v>6</v>
      </c>
      <c r="J222" s="15">
        <v>0.16455091596073201</v>
      </c>
      <c r="K222" s="31">
        <f t="shared" si="9"/>
        <v>432</v>
      </c>
      <c r="L222" s="31">
        <f t="shared" si="10"/>
        <v>361</v>
      </c>
      <c r="M222" s="36">
        <f t="shared" si="11"/>
        <v>-71</v>
      </c>
    </row>
    <row r="223" spans="2:13">
      <c r="B223" s="16" t="s">
        <v>501</v>
      </c>
      <c r="C223" s="16" t="s">
        <v>1662</v>
      </c>
      <c r="D223" s="17">
        <v>44759</v>
      </c>
      <c r="E223" s="16" t="s">
        <v>1681</v>
      </c>
      <c r="F223" s="16" t="s">
        <v>1680</v>
      </c>
      <c r="G223" s="32">
        <v>65</v>
      </c>
      <c r="H223" s="16" t="s">
        <v>21</v>
      </c>
      <c r="I223" s="18">
        <v>4</v>
      </c>
      <c r="J223" s="19">
        <v>0.256669074916685</v>
      </c>
      <c r="K223" s="32">
        <f t="shared" si="9"/>
        <v>260</v>
      </c>
      <c r="L223" s="32">
        <f t="shared" si="10"/>
        <v>193</v>
      </c>
      <c r="M223" s="37">
        <f t="shared" si="11"/>
        <v>-67</v>
      </c>
    </row>
    <row r="224" spans="2:13">
      <c r="B224" s="12" t="s">
        <v>503</v>
      </c>
      <c r="C224" s="12" t="s">
        <v>1664</v>
      </c>
      <c r="D224" s="13">
        <v>44735</v>
      </c>
      <c r="E224" s="12" t="s">
        <v>1683</v>
      </c>
      <c r="F224" s="12" t="s">
        <v>1680</v>
      </c>
      <c r="G224" s="31">
        <v>250</v>
      </c>
      <c r="H224" s="12" t="s">
        <v>26</v>
      </c>
      <c r="I224" s="14">
        <v>3</v>
      </c>
      <c r="J224" s="15">
        <v>0.90160231788426604</v>
      </c>
      <c r="K224" s="31">
        <f t="shared" si="9"/>
        <v>750</v>
      </c>
      <c r="L224" s="31">
        <f t="shared" si="10"/>
        <v>74</v>
      </c>
      <c r="M224" s="36">
        <f t="shared" si="11"/>
        <v>-676</v>
      </c>
    </row>
    <row r="225" spans="2:13">
      <c r="B225" s="16" t="s">
        <v>505</v>
      </c>
      <c r="C225" s="16" t="s">
        <v>1666</v>
      </c>
      <c r="D225" s="17">
        <v>44734</v>
      </c>
      <c r="E225" s="16" t="s">
        <v>1684</v>
      </c>
      <c r="F225" s="16" t="s">
        <v>1680</v>
      </c>
      <c r="G225" s="32">
        <v>130</v>
      </c>
      <c r="H225" s="16" t="s">
        <v>32</v>
      </c>
      <c r="I225" s="18">
        <v>2</v>
      </c>
      <c r="J225" s="19">
        <v>0.320164833885899</v>
      </c>
      <c r="K225" s="32">
        <f t="shared" si="9"/>
        <v>260</v>
      </c>
      <c r="L225" s="32">
        <f t="shared" si="10"/>
        <v>177</v>
      </c>
      <c r="M225" s="37">
        <f t="shared" si="11"/>
        <v>-83</v>
      </c>
    </row>
    <row r="226" spans="2:13">
      <c r="B226" s="12" t="s">
        <v>507</v>
      </c>
      <c r="C226" s="12" t="s">
        <v>1668</v>
      </c>
      <c r="D226" s="13">
        <v>44753</v>
      </c>
      <c r="E226" s="12" t="s">
        <v>1685</v>
      </c>
      <c r="F226" s="12" t="s">
        <v>1682</v>
      </c>
      <c r="G226" s="31">
        <v>60</v>
      </c>
      <c r="H226" s="12" t="s">
        <v>21</v>
      </c>
      <c r="I226" s="14">
        <v>9</v>
      </c>
      <c r="J226" s="15">
        <v>0.134984504877316</v>
      </c>
      <c r="K226" s="31">
        <f t="shared" si="9"/>
        <v>540</v>
      </c>
      <c r="L226" s="31">
        <f t="shared" si="10"/>
        <v>467</v>
      </c>
      <c r="M226" s="36">
        <f t="shared" si="11"/>
        <v>-73</v>
      </c>
    </row>
    <row r="227" spans="2:13">
      <c r="B227" s="16" t="s">
        <v>509</v>
      </c>
      <c r="C227" s="16" t="s">
        <v>1669</v>
      </c>
      <c r="D227" s="17">
        <v>44739</v>
      </c>
      <c r="E227" s="16" t="s">
        <v>1686</v>
      </c>
      <c r="F227" s="16" t="s">
        <v>1680</v>
      </c>
      <c r="G227" s="32">
        <v>95</v>
      </c>
      <c r="H227" s="16" t="s">
        <v>26</v>
      </c>
      <c r="I227" s="18">
        <v>5</v>
      </c>
      <c r="J227" s="19">
        <v>0.91789593738279995</v>
      </c>
      <c r="K227" s="32">
        <f t="shared" si="9"/>
        <v>475</v>
      </c>
      <c r="L227" s="32">
        <f t="shared" si="10"/>
        <v>39</v>
      </c>
      <c r="M227" s="37">
        <f t="shared" si="11"/>
        <v>-436</v>
      </c>
    </row>
    <row r="228" spans="2:13">
      <c r="B228" s="12" t="s">
        <v>511</v>
      </c>
      <c r="C228" s="12" t="s">
        <v>1660</v>
      </c>
      <c r="D228" s="13">
        <v>44740</v>
      </c>
      <c r="E228" s="12" t="s">
        <v>1679</v>
      </c>
      <c r="F228" s="12" t="s">
        <v>1680</v>
      </c>
      <c r="G228" s="31">
        <v>72</v>
      </c>
      <c r="H228" s="12" t="s">
        <v>32</v>
      </c>
      <c r="I228" s="14">
        <v>3</v>
      </c>
      <c r="J228" s="15">
        <v>0.98021726342122195</v>
      </c>
      <c r="K228" s="31">
        <f t="shared" si="9"/>
        <v>216</v>
      </c>
      <c r="L228" s="31">
        <f t="shared" si="10"/>
        <v>4</v>
      </c>
      <c r="M228" s="36">
        <f t="shared" si="11"/>
        <v>-212</v>
      </c>
    </row>
    <row r="229" spans="2:13">
      <c r="B229" s="16" t="s">
        <v>513</v>
      </c>
      <c r="C229" s="16" t="s">
        <v>1662</v>
      </c>
      <c r="D229" s="17">
        <v>44748</v>
      </c>
      <c r="E229" s="16" t="s">
        <v>1681</v>
      </c>
      <c r="F229" s="16" t="s">
        <v>1680</v>
      </c>
      <c r="G229" s="32">
        <v>65</v>
      </c>
      <c r="H229" s="16" t="s">
        <v>21</v>
      </c>
      <c r="I229" s="18">
        <v>7</v>
      </c>
      <c r="J229" s="19">
        <v>6.7354248366483002E-2</v>
      </c>
      <c r="K229" s="32">
        <f t="shared" si="9"/>
        <v>455</v>
      </c>
      <c r="L229" s="32">
        <f t="shared" si="10"/>
        <v>424</v>
      </c>
      <c r="M229" s="37">
        <f t="shared" si="11"/>
        <v>-31</v>
      </c>
    </row>
    <row r="230" spans="2:13">
      <c r="B230" s="12" t="s">
        <v>515</v>
      </c>
      <c r="C230" s="12" t="s">
        <v>1664</v>
      </c>
      <c r="D230" s="13">
        <v>44731</v>
      </c>
      <c r="E230" s="12" t="s">
        <v>1683</v>
      </c>
      <c r="F230" s="12" t="s">
        <v>1682</v>
      </c>
      <c r="G230" s="31">
        <v>250</v>
      </c>
      <c r="H230" s="12" t="s">
        <v>26</v>
      </c>
      <c r="I230" s="14">
        <v>2</v>
      </c>
      <c r="J230" s="15">
        <v>0.49907272133883401</v>
      </c>
      <c r="K230" s="31">
        <f t="shared" si="9"/>
        <v>500</v>
      </c>
      <c r="L230" s="31">
        <f t="shared" si="10"/>
        <v>250</v>
      </c>
      <c r="M230" s="36">
        <f t="shared" si="11"/>
        <v>-250</v>
      </c>
    </row>
    <row r="231" spans="2:13">
      <c r="B231" s="16" t="s">
        <v>517</v>
      </c>
      <c r="C231" s="16" t="s">
        <v>1666</v>
      </c>
      <c r="D231" s="17">
        <v>44763</v>
      </c>
      <c r="E231" s="16" t="s">
        <v>1684</v>
      </c>
      <c r="F231" s="16" t="s">
        <v>1682</v>
      </c>
      <c r="G231" s="32">
        <v>130</v>
      </c>
      <c r="H231" s="16" t="s">
        <v>32</v>
      </c>
      <c r="I231" s="18">
        <v>5</v>
      </c>
      <c r="J231" s="19">
        <v>0.61466468459589796</v>
      </c>
      <c r="K231" s="32">
        <f t="shared" si="9"/>
        <v>650</v>
      </c>
      <c r="L231" s="32">
        <f t="shared" si="10"/>
        <v>250</v>
      </c>
      <c r="M231" s="37">
        <f t="shared" si="11"/>
        <v>-400</v>
      </c>
    </row>
    <row r="232" spans="2:13">
      <c r="B232" s="12" t="s">
        <v>519</v>
      </c>
      <c r="C232" s="12" t="s">
        <v>1660</v>
      </c>
      <c r="D232" s="13">
        <v>44733</v>
      </c>
      <c r="E232" s="12" t="s">
        <v>1679</v>
      </c>
      <c r="F232" s="12" t="s">
        <v>1682</v>
      </c>
      <c r="G232" s="31">
        <v>72</v>
      </c>
      <c r="H232" s="12" t="s">
        <v>21</v>
      </c>
      <c r="I232" s="14">
        <v>7</v>
      </c>
      <c r="J232" s="15">
        <v>0.94639798804768605</v>
      </c>
      <c r="K232" s="31">
        <f t="shared" si="9"/>
        <v>504</v>
      </c>
      <c r="L232" s="31">
        <f t="shared" si="10"/>
        <v>27</v>
      </c>
      <c r="M232" s="36">
        <f t="shared" si="11"/>
        <v>-477</v>
      </c>
    </row>
    <row r="233" spans="2:13">
      <c r="B233" s="16" t="s">
        <v>521</v>
      </c>
      <c r="C233" s="16" t="s">
        <v>1662</v>
      </c>
      <c r="D233" s="17">
        <v>44746</v>
      </c>
      <c r="E233" s="16" t="s">
        <v>1681</v>
      </c>
      <c r="F233" s="16" t="s">
        <v>1682</v>
      </c>
      <c r="G233" s="32">
        <v>65</v>
      </c>
      <c r="H233" s="16" t="s">
        <v>26</v>
      </c>
      <c r="I233" s="18">
        <v>10</v>
      </c>
      <c r="J233" s="19">
        <v>0.951686638384176</v>
      </c>
      <c r="K233" s="32">
        <f t="shared" si="9"/>
        <v>650</v>
      </c>
      <c r="L233" s="32">
        <f t="shared" si="10"/>
        <v>31</v>
      </c>
      <c r="M233" s="37">
        <f t="shared" si="11"/>
        <v>-619</v>
      </c>
    </row>
    <row r="234" spans="2:13">
      <c r="B234" s="12" t="s">
        <v>523</v>
      </c>
      <c r="C234" s="12" t="s">
        <v>1664</v>
      </c>
      <c r="D234" s="13">
        <v>44755</v>
      </c>
      <c r="E234" s="12" t="s">
        <v>1683</v>
      </c>
      <c r="F234" s="12" t="s">
        <v>1682</v>
      </c>
      <c r="G234" s="31">
        <v>250</v>
      </c>
      <c r="H234" s="12" t="s">
        <v>32</v>
      </c>
      <c r="I234" s="14">
        <v>2</v>
      </c>
      <c r="J234" s="15">
        <v>0.55958868077394197</v>
      </c>
      <c r="K234" s="31">
        <f t="shared" si="9"/>
        <v>500</v>
      </c>
      <c r="L234" s="31">
        <f t="shared" si="10"/>
        <v>220</v>
      </c>
      <c r="M234" s="36">
        <f t="shared" si="11"/>
        <v>-280</v>
      </c>
    </row>
    <row r="235" spans="2:13">
      <c r="B235" s="16" t="s">
        <v>525</v>
      </c>
      <c r="C235" s="16" t="s">
        <v>1666</v>
      </c>
      <c r="D235" s="17">
        <v>44755</v>
      </c>
      <c r="E235" s="16" t="s">
        <v>1684</v>
      </c>
      <c r="F235" s="16" t="s">
        <v>1682</v>
      </c>
      <c r="G235" s="32">
        <v>130</v>
      </c>
      <c r="H235" s="16" t="s">
        <v>21</v>
      </c>
      <c r="I235" s="18">
        <v>2</v>
      </c>
      <c r="J235" s="19">
        <v>0.810039366771655</v>
      </c>
      <c r="K235" s="32">
        <f t="shared" si="9"/>
        <v>260</v>
      </c>
      <c r="L235" s="32">
        <f t="shared" si="10"/>
        <v>49</v>
      </c>
      <c r="M235" s="37">
        <f t="shared" si="11"/>
        <v>-211</v>
      </c>
    </row>
    <row r="236" spans="2:13">
      <c r="B236" s="12" t="s">
        <v>527</v>
      </c>
      <c r="C236" s="12" t="s">
        <v>1660</v>
      </c>
      <c r="D236" s="13">
        <v>44727</v>
      </c>
      <c r="E236" s="12" t="s">
        <v>1679</v>
      </c>
      <c r="F236" s="12" t="s">
        <v>1682</v>
      </c>
      <c r="G236" s="31">
        <v>72</v>
      </c>
      <c r="H236" s="12" t="s">
        <v>21</v>
      </c>
      <c r="I236" s="14">
        <v>12</v>
      </c>
      <c r="J236" s="15">
        <v>0.35450072343254202</v>
      </c>
      <c r="K236" s="31">
        <f t="shared" si="9"/>
        <v>864</v>
      </c>
      <c r="L236" s="31">
        <f t="shared" si="10"/>
        <v>558</v>
      </c>
      <c r="M236" s="36">
        <f t="shared" si="11"/>
        <v>-306</v>
      </c>
    </row>
    <row r="237" spans="2:13">
      <c r="B237" s="16" t="s">
        <v>529</v>
      </c>
      <c r="C237" s="16" t="s">
        <v>1662</v>
      </c>
      <c r="D237" s="17">
        <v>44746</v>
      </c>
      <c r="E237" s="16" t="s">
        <v>1681</v>
      </c>
      <c r="F237" s="16" t="s">
        <v>1680</v>
      </c>
      <c r="G237" s="32">
        <v>65</v>
      </c>
      <c r="H237" s="16" t="s">
        <v>26</v>
      </c>
      <c r="I237" s="18">
        <v>11</v>
      </c>
      <c r="J237" s="19">
        <v>0.34895469608332802</v>
      </c>
      <c r="K237" s="32">
        <f t="shared" si="9"/>
        <v>715</v>
      </c>
      <c r="L237" s="32">
        <f t="shared" si="10"/>
        <v>465</v>
      </c>
      <c r="M237" s="37">
        <f t="shared" si="11"/>
        <v>-250</v>
      </c>
    </row>
    <row r="238" spans="2:13">
      <c r="B238" s="12" t="s">
        <v>531</v>
      </c>
      <c r="C238" s="12" t="s">
        <v>1664</v>
      </c>
      <c r="D238" s="13">
        <v>44740</v>
      </c>
      <c r="E238" s="12" t="s">
        <v>1683</v>
      </c>
      <c r="F238" s="12" t="s">
        <v>1680</v>
      </c>
      <c r="G238" s="31">
        <v>250</v>
      </c>
      <c r="H238" s="12" t="s">
        <v>32</v>
      </c>
      <c r="I238" s="14">
        <v>2</v>
      </c>
      <c r="J238" s="15">
        <v>0.52279578451533204</v>
      </c>
      <c r="K238" s="31">
        <f t="shared" si="9"/>
        <v>500</v>
      </c>
      <c r="L238" s="31">
        <f t="shared" si="10"/>
        <v>239</v>
      </c>
      <c r="M238" s="36">
        <f t="shared" si="11"/>
        <v>-261</v>
      </c>
    </row>
    <row r="239" spans="2:13">
      <c r="B239" s="16" t="s">
        <v>533</v>
      </c>
      <c r="C239" s="16" t="s">
        <v>1666</v>
      </c>
      <c r="D239" s="17">
        <v>44743</v>
      </c>
      <c r="E239" s="16" t="s">
        <v>1684</v>
      </c>
      <c r="F239" s="16" t="s">
        <v>1680</v>
      </c>
      <c r="G239" s="32">
        <v>130</v>
      </c>
      <c r="H239" s="16" t="s">
        <v>21</v>
      </c>
      <c r="I239" s="18">
        <v>3</v>
      </c>
      <c r="J239" s="19">
        <v>0.69617887937852896</v>
      </c>
      <c r="K239" s="32">
        <f t="shared" si="9"/>
        <v>390</v>
      </c>
      <c r="L239" s="32">
        <f t="shared" si="10"/>
        <v>118</v>
      </c>
      <c r="M239" s="37">
        <f t="shared" si="11"/>
        <v>-272</v>
      </c>
    </row>
    <row r="240" spans="2:13">
      <c r="B240" s="12" t="s">
        <v>535</v>
      </c>
      <c r="C240" s="12" t="s">
        <v>1660</v>
      </c>
      <c r="D240" s="13">
        <v>44737</v>
      </c>
      <c r="E240" s="12" t="s">
        <v>1679</v>
      </c>
      <c r="F240" s="12" t="s">
        <v>1682</v>
      </c>
      <c r="G240" s="31">
        <v>72</v>
      </c>
      <c r="H240" s="12" t="s">
        <v>26</v>
      </c>
      <c r="I240" s="14">
        <v>6</v>
      </c>
      <c r="J240" s="15">
        <v>0.55638354082081698</v>
      </c>
      <c r="K240" s="31">
        <f t="shared" si="9"/>
        <v>432</v>
      </c>
      <c r="L240" s="31">
        <f t="shared" si="10"/>
        <v>192</v>
      </c>
      <c r="M240" s="36">
        <f t="shared" si="11"/>
        <v>-240</v>
      </c>
    </row>
    <row r="241" spans="2:13">
      <c r="B241" s="16" t="s">
        <v>537</v>
      </c>
      <c r="C241" s="16" t="s">
        <v>1662</v>
      </c>
      <c r="D241" s="17">
        <v>44757</v>
      </c>
      <c r="E241" s="16" t="s">
        <v>1681</v>
      </c>
      <c r="F241" s="16" t="s">
        <v>1682</v>
      </c>
      <c r="G241" s="32">
        <v>65</v>
      </c>
      <c r="H241" s="16" t="s">
        <v>32</v>
      </c>
      <c r="I241" s="18">
        <v>8</v>
      </c>
      <c r="J241" s="19">
        <v>7.8132692098414003E-2</v>
      </c>
      <c r="K241" s="32">
        <f t="shared" si="9"/>
        <v>520</v>
      </c>
      <c r="L241" s="32">
        <f t="shared" si="10"/>
        <v>479</v>
      </c>
      <c r="M241" s="37">
        <f t="shared" si="11"/>
        <v>-41</v>
      </c>
    </row>
    <row r="242" spans="2:13">
      <c r="B242" s="12" t="s">
        <v>539</v>
      </c>
      <c r="C242" s="12" t="s">
        <v>1664</v>
      </c>
      <c r="D242" s="13">
        <v>44745</v>
      </c>
      <c r="E242" s="12" t="s">
        <v>1683</v>
      </c>
      <c r="F242" s="12" t="s">
        <v>1682</v>
      </c>
      <c r="G242" s="31">
        <v>250</v>
      </c>
      <c r="H242" s="12" t="s">
        <v>21</v>
      </c>
      <c r="I242" s="14">
        <v>1</v>
      </c>
      <c r="J242" s="15">
        <v>0.37783112687678599</v>
      </c>
      <c r="K242" s="31">
        <f t="shared" si="9"/>
        <v>250</v>
      </c>
      <c r="L242" s="31">
        <f t="shared" si="10"/>
        <v>156</v>
      </c>
      <c r="M242" s="36">
        <f t="shared" si="11"/>
        <v>-94</v>
      </c>
    </row>
    <row r="243" spans="2:13">
      <c r="B243" s="16" t="s">
        <v>541</v>
      </c>
      <c r="C243" s="16" t="s">
        <v>1666</v>
      </c>
      <c r="D243" s="17">
        <v>44760</v>
      </c>
      <c r="E243" s="16" t="s">
        <v>1684</v>
      </c>
      <c r="F243" s="16" t="s">
        <v>1682</v>
      </c>
      <c r="G243" s="32">
        <v>130</v>
      </c>
      <c r="H243" s="16" t="s">
        <v>26</v>
      </c>
      <c r="I243" s="18">
        <v>7</v>
      </c>
      <c r="J243" s="19">
        <v>0.34200944354303298</v>
      </c>
      <c r="K243" s="32">
        <f t="shared" si="9"/>
        <v>910</v>
      </c>
      <c r="L243" s="32">
        <f t="shared" si="10"/>
        <v>599</v>
      </c>
      <c r="M243" s="37">
        <f t="shared" si="11"/>
        <v>-311</v>
      </c>
    </row>
    <row r="244" spans="2:13">
      <c r="B244" s="12" t="s">
        <v>543</v>
      </c>
      <c r="C244" s="12" t="s">
        <v>1668</v>
      </c>
      <c r="D244" s="13">
        <v>44750</v>
      </c>
      <c r="E244" s="12" t="s">
        <v>1685</v>
      </c>
      <c r="F244" s="12" t="s">
        <v>1682</v>
      </c>
      <c r="G244" s="31">
        <v>60</v>
      </c>
      <c r="H244" s="12" t="s">
        <v>32</v>
      </c>
      <c r="I244" s="14">
        <v>11</v>
      </c>
      <c r="J244" s="15">
        <v>0.92737976442865899</v>
      </c>
      <c r="K244" s="31">
        <f t="shared" si="9"/>
        <v>660</v>
      </c>
      <c r="L244" s="31">
        <f t="shared" si="10"/>
        <v>48</v>
      </c>
      <c r="M244" s="36">
        <f t="shared" si="11"/>
        <v>-612</v>
      </c>
    </row>
    <row r="245" spans="2:13">
      <c r="B245" s="16" t="s">
        <v>545</v>
      </c>
      <c r="C245" s="16" t="s">
        <v>1660</v>
      </c>
      <c r="D245" s="17">
        <v>44742</v>
      </c>
      <c r="E245" s="16" t="s">
        <v>1679</v>
      </c>
      <c r="F245" s="16" t="s">
        <v>1682</v>
      </c>
      <c r="G245" s="32">
        <v>72</v>
      </c>
      <c r="H245" s="16" t="s">
        <v>21</v>
      </c>
      <c r="I245" s="18">
        <v>6</v>
      </c>
      <c r="J245" s="19">
        <v>0.96938667185148797</v>
      </c>
      <c r="K245" s="32">
        <f t="shared" si="9"/>
        <v>432</v>
      </c>
      <c r="L245" s="32">
        <f t="shared" si="10"/>
        <v>13</v>
      </c>
      <c r="M245" s="37">
        <f t="shared" si="11"/>
        <v>-419</v>
      </c>
    </row>
    <row r="246" spans="2:13">
      <c r="B246" s="12" t="s">
        <v>547</v>
      </c>
      <c r="C246" s="12" t="s">
        <v>1662</v>
      </c>
      <c r="D246" s="13">
        <v>44754</v>
      </c>
      <c r="E246" s="12" t="s">
        <v>1681</v>
      </c>
      <c r="F246" s="12" t="s">
        <v>1682</v>
      </c>
      <c r="G246" s="31">
        <v>65</v>
      </c>
      <c r="H246" s="12" t="s">
        <v>26</v>
      </c>
      <c r="I246" s="14">
        <v>6</v>
      </c>
      <c r="J246" s="15">
        <v>0.244063078270044</v>
      </c>
      <c r="K246" s="31">
        <f t="shared" si="9"/>
        <v>390</v>
      </c>
      <c r="L246" s="31">
        <f t="shared" si="10"/>
        <v>295</v>
      </c>
      <c r="M246" s="36">
        <f t="shared" si="11"/>
        <v>-95</v>
      </c>
    </row>
    <row r="247" spans="2:13">
      <c r="B247" s="16" t="s">
        <v>549</v>
      </c>
      <c r="C247" s="16" t="s">
        <v>1664</v>
      </c>
      <c r="D247" s="17">
        <v>44746</v>
      </c>
      <c r="E247" s="16" t="s">
        <v>1683</v>
      </c>
      <c r="F247" s="16" t="s">
        <v>1680</v>
      </c>
      <c r="G247" s="32">
        <v>250</v>
      </c>
      <c r="H247" s="16" t="s">
        <v>32</v>
      </c>
      <c r="I247" s="18">
        <v>2</v>
      </c>
      <c r="J247" s="19">
        <v>0.931057824254786</v>
      </c>
      <c r="K247" s="32">
        <f t="shared" si="9"/>
        <v>500</v>
      </c>
      <c r="L247" s="32">
        <f t="shared" si="10"/>
        <v>34</v>
      </c>
      <c r="M247" s="37">
        <f t="shared" si="11"/>
        <v>-466</v>
      </c>
    </row>
    <row r="248" spans="2:13">
      <c r="B248" s="12" t="s">
        <v>551</v>
      </c>
      <c r="C248" s="12" t="s">
        <v>1666</v>
      </c>
      <c r="D248" s="13">
        <v>44752</v>
      </c>
      <c r="E248" s="12" t="s">
        <v>1684</v>
      </c>
      <c r="F248" s="12" t="s">
        <v>1680</v>
      </c>
      <c r="G248" s="31">
        <v>130</v>
      </c>
      <c r="H248" s="12" t="s">
        <v>21</v>
      </c>
      <c r="I248" s="14">
        <v>4</v>
      </c>
      <c r="J248" s="15">
        <v>0.67570229189541997</v>
      </c>
      <c r="K248" s="31">
        <f t="shared" si="9"/>
        <v>520</v>
      </c>
      <c r="L248" s="31">
        <f t="shared" si="10"/>
        <v>169</v>
      </c>
      <c r="M248" s="36">
        <f t="shared" si="11"/>
        <v>-351</v>
      </c>
    </row>
    <row r="249" spans="2:13">
      <c r="B249" s="16" t="s">
        <v>553</v>
      </c>
      <c r="C249" s="16" t="s">
        <v>1660</v>
      </c>
      <c r="D249" s="17">
        <v>44725</v>
      </c>
      <c r="E249" s="16" t="s">
        <v>1679</v>
      </c>
      <c r="F249" s="16" t="s">
        <v>1680</v>
      </c>
      <c r="G249" s="32">
        <v>72</v>
      </c>
      <c r="H249" s="16" t="s">
        <v>26</v>
      </c>
      <c r="I249" s="18">
        <v>7</v>
      </c>
      <c r="J249" s="19">
        <v>0.91192982577548198</v>
      </c>
      <c r="K249" s="32">
        <f t="shared" si="9"/>
        <v>504</v>
      </c>
      <c r="L249" s="32">
        <f t="shared" si="10"/>
        <v>44</v>
      </c>
      <c r="M249" s="37">
        <f t="shared" si="11"/>
        <v>-460</v>
      </c>
    </row>
    <row r="250" spans="2:13">
      <c r="B250" s="12" t="s">
        <v>555</v>
      </c>
      <c r="C250" s="12" t="s">
        <v>1662</v>
      </c>
      <c r="D250" s="13">
        <v>44734</v>
      </c>
      <c r="E250" s="12" t="s">
        <v>1681</v>
      </c>
      <c r="F250" s="12" t="s">
        <v>1682</v>
      </c>
      <c r="G250" s="31">
        <v>65</v>
      </c>
      <c r="H250" s="12" t="s">
        <v>32</v>
      </c>
      <c r="I250" s="14">
        <v>13</v>
      </c>
      <c r="J250" s="15">
        <v>0.46313611506175101</v>
      </c>
      <c r="K250" s="31">
        <f t="shared" si="9"/>
        <v>845</v>
      </c>
      <c r="L250" s="31">
        <f t="shared" si="10"/>
        <v>454</v>
      </c>
      <c r="M250" s="36">
        <f t="shared" si="11"/>
        <v>-391</v>
      </c>
    </row>
    <row r="251" spans="2:13">
      <c r="B251" s="16" t="s">
        <v>557</v>
      </c>
      <c r="C251" s="16" t="s">
        <v>1664</v>
      </c>
      <c r="D251" s="17">
        <v>44761</v>
      </c>
      <c r="E251" s="16" t="s">
        <v>1683</v>
      </c>
      <c r="F251" s="16" t="s">
        <v>1682</v>
      </c>
      <c r="G251" s="32">
        <v>250</v>
      </c>
      <c r="H251" s="16" t="s">
        <v>21</v>
      </c>
      <c r="I251" s="18">
        <v>1</v>
      </c>
      <c r="J251" s="19">
        <v>5.3530222562513601E-2</v>
      </c>
      <c r="K251" s="32">
        <f t="shared" si="9"/>
        <v>250</v>
      </c>
      <c r="L251" s="32">
        <f t="shared" si="10"/>
        <v>237</v>
      </c>
      <c r="M251" s="37">
        <f t="shared" si="11"/>
        <v>-13</v>
      </c>
    </row>
    <row r="252" spans="2:13">
      <c r="B252" s="12" t="s">
        <v>559</v>
      </c>
      <c r="C252" s="12" t="s">
        <v>1666</v>
      </c>
      <c r="D252" s="13">
        <v>44735</v>
      </c>
      <c r="E252" s="12" t="s">
        <v>1684</v>
      </c>
      <c r="F252" s="12" t="s">
        <v>1682</v>
      </c>
      <c r="G252" s="31">
        <v>130</v>
      </c>
      <c r="H252" s="12" t="s">
        <v>26</v>
      </c>
      <c r="I252" s="14">
        <v>2</v>
      </c>
      <c r="J252" s="15">
        <v>0.101354148565082</v>
      </c>
      <c r="K252" s="31">
        <f t="shared" si="9"/>
        <v>260</v>
      </c>
      <c r="L252" s="31">
        <f t="shared" si="10"/>
        <v>234</v>
      </c>
      <c r="M252" s="36">
        <f t="shared" si="11"/>
        <v>-26</v>
      </c>
    </row>
    <row r="253" spans="2:13">
      <c r="B253" s="16" t="s">
        <v>561</v>
      </c>
      <c r="C253" s="16" t="s">
        <v>1668</v>
      </c>
      <c r="D253" s="17">
        <v>44753</v>
      </c>
      <c r="E253" s="16" t="s">
        <v>1685</v>
      </c>
      <c r="F253" s="16" t="s">
        <v>1682</v>
      </c>
      <c r="G253" s="32">
        <v>60</v>
      </c>
      <c r="H253" s="16" t="s">
        <v>32</v>
      </c>
      <c r="I253" s="18">
        <v>10</v>
      </c>
      <c r="J253" s="19">
        <v>0.15413196820236599</v>
      </c>
      <c r="K253" s="32">
        <f t="shared" si="9"/>
        <v>600</v>
      </c>
      <c r="L253" s="32">
        <f t="shared" si="10"/>
        <v>508</v>
      </c>
      <c r="M253" s="37">
        <f t="shared" si="11"/>
        <v>-92</v>
      </c>
    </row>
    <row r="254" spans="2:13">
      <c r="B254" s="12" t="s">
        <v>563</v>
      </c>
      <c r="C254" s="12" t="s">
        <v>1669</v>
      </c>
      <c r="D254" s="13">
        <v>44732</v>
      </c>
      <c r="E254" s="12" t="s">
        <v>1686</v>
      </c>
      <c r="F254" s="12" t="s">
        <v>1682</v>
      </c>
      <c r="G254" s="31">
        <v>95</v>
      </c>
      <c r="H254" s="12" t="s">
        <v>21</v>
      </c>
      <c r="I254" s="14">
        <v>4</v>
      </c>
      <c r="J254" s="15">
        <v>0.99147229272651105</v>
      </c>
      <c r="K254" s="31">
        <f t="shared" si="9"/>
        <v>380</v>
      </c>
      <c r="L254" s="31">
        <f t="shared" si="10"/>
        <v>3</v>
      </c>
      <c r="M254" s="36">
        <f t="shared" si="11"/>
        <v>-377</v>
      </c>
    </row>
    <row r="255" spans="2:13">
      <c r="B255" s="16" t="s">
        <v>565</v>
      </c>
      <c r="C255" s="16" t="s">
        <v>1660</v>
      </c>
      <c r="D255" s="17">
        <v>44748</v>
      </c>
      <c r="E255" s="16" t="s">
        <v>1679</v>
      </c>
      <c r="F255" s="16" t="s">
        <v>1682</v>
      </c>
      <c r="G255" s="32">
        <v>72</v>
      </c>
      <c r="H255" s="16" t="s">
        <v>26</v>
      </c>
      <c r="I255" s="18">
        <v>4</v>
      </c>
      <c r="J255" s="19">
        <v>0.267925418382296</v>
      </c>
      <c r="K255" s="32">
        <f t="shared" si="9"/>
        <v>288</v>
      </c>
      <c r="L255" s="32">
        <f t="shared" si="10"/>
        <v>211</v>
      </c>
      <c r="M255" s="37">
        <f t="shared" si="11"/>
        <v>-77</v>
      </c>
    </row>
    <row r="256" spans="2:13">
      <c r="B256" s="12" t="s">
        <v>567</v>
      </c>
      <c r="C256" s="12" t="s">
        <v>1662</v>
      </c>
      <c r="D256" s="13">
        <v>44731</v>
      </c>
      <c r="E256" s="12" t="s">
        <v>1681</v>
      </c>
      <c r="F256" s="12" t="s">
        <v>1682</v>
      </c>
      <c r="G256" s="31">
        <v>65</v>
      </c>
      <c r="H256" s="12" t="s">
        <v>32</v>
      </c>
      <c r="I256" s="14">
        <v>7</v>
      </c>
      <c r="J256" s="15">
        <v>0.67400237007588704</v>
      </c>
      <c r="K256" s="31">
        <f t="shared" si="9"/>
        <v>455</v>
      </c>
      <c r="L256" s="31">
        <f t="shared" si="10"/>
        <v>148</v>
      </c>
      <c r="M256" s="36">
        <f t="shared" si="11"/>
        <v>-307</v>
      </c>
    </row>
    <row r="257" spans="2:13">
      <c r="B257" s="16" t="s">
        <v>569</v>
      </c>
      <c r="C257" s="16" t="s">
        <v>1664</v>
      </c>
      <c r="D257" s="17">
        <v>44725</v>
      </c>
      <c r="E257" s="16" t="s">
        <v>1683</v>
      </c>
      <c r="F257" s="16" t="s">
        <v>1680</v>
      </c>
      <c r="G257" s="32">
        <v>250</v>
      </c>
      <c r="H257" s="16" t="s">
        <v>21</v>
      </c>
      <c r="I257" s="18">
        <v>2</v>
      </c>
      <c r="J257" s="19">
        <v>0.107790125674155</v>
      </c>
      <c r="K257" s="32">
        <f t="shared" si="9"/>
        <v>500</v>
      </c>
      <c r="L257" s="32">
        <f t="shared" si="10"/>
        <v>446</v>
      </c>
      <c r="M257" s="37">
        <f t="shared" si="11"/>
        <v>-54</v>
      </c>
    </row>
    <row r="258" spans="2:13">
      <c r="B258" s="12" t="s">
        <v>571</v>
      </c>
      <c r="C258" s="12" t="s">
        <v>1666</v>
      </c>
      <c r="D258" s="13">
        <v>44753</v>
      </c>
      <c r="E258" s="12" t="s">
        <v>1684</v>
      </c>
      <c r="F258" s="12" t="s">
        <v>1680</v>
      </c>
      <c r="G258" s="31">
        <v>130</v>
      </c>
      <c r="H258" s="12" t="s">
        <v>26</v>
      </c>
      <c r="I258" s="14">
        <v>4</v>
      </c>
      <c r="J258" s="15">
        <v>6.5825812137459E-2</v>
      </c>
      <c r="K258" s="31">
        <f t="shared" si="9"/>
        <v>520</v>
      </c>
      <c r="L258" s="31">
        <f t="shared" si="10"/>
        <v>486</v>
      </c>
      <c r="M258" s="36">
        <f t="shared" si="11"/>
        <v>-34</v>
      </c>
    </row>
    <row r="259" spans="2:13">
      <c r="B259" s="16" t="s">
        <v>573</v>
      </c>
      <c r="C259" s="16" t="s">
        <v>1660</v>
      </c>
      <c r="D259" s="17">
        <v>44738</v>
      </c>
      <c r="E259" s="16" t="s">
        <v>1679</v>
      </c>
      <c r="F259" s="16" t="s">
        <v>1680</v>
      </c>
      <c r="G259" s="32">
        <v>72</v>
      </c>
      <c r="H259" s="16" t="s">
        <v>32</v>
      </c>
      <c r="I259" s="18">
        <v>11</v>
      </c>
      <c r="J259" s="19">
        <v>0.36167362480508097</v>
      </c>
      <c r="K259" s="32">
        <f t="shared" si="9"/>
        <v>792</v>
      </c>
      <c r="L259" s="32">
        <f t="shared" si="10"/>
        <v>506</v>
      </c>
      <c r="M259" s="37">
        <f t="shared" si="11"/>
        <v>-286</v>
      </c>
    </row>
    <row r="260" spans="2:13">
      <c r="B260" s="12" t="s">
        <v>575</v>
      </c>
      <c r="C260" s="12" t="s">
        <v>1662</v>
      </c>
      <c r="D260" s="13">
        <v>44762</v>
      </c>
      <c r="E260" s="12" t="s">
        <v>1681</v>
      </c>
      <c r="F260" s="12" t="s">
        <v>1682</v>
      </c>
      <c r="G260" s="31">
        <v>65</v>
      </c>
      <c r="H260" s="12" t="s">
        <v>21</v>
      </c>
      <c r="I260" s="14">
        <v>9</v>
      </c>
      <c r="J260" s="15">
        <v>0.15611277710708599</v>
      </c>
      <c r="K260" s="31">
        <f t="shared" si="9"/>
        <v>585</v>
      </c>
      <c r="L260" s="31">
        <f t="shared" si="10"/>
        <v>494</v>
      </c>
      <c r="M260" s="36">
        <f t="shared" si="11"/>
        <v>-91</v>
      </c>
    </row>
    <row r="261" spans="2:13">
      <c r="B261" s="16" t="s">
        <v>577</v>
      </c>
      <c r="C261" s="16" t="s">
        <v>1664</v>
      </c>
      <c r="D261" s="17">
        <v>44756</v>
      </c>
      <c r="E261" s="16" t="s">
        <v>1683</v>
      </c>
      <c r="F261" s="16" t="s">
        <v>1682</v>
      </c>
      <c r="G261" s="32">
        <v>250</v>
      </c>
      <c r="H261" s="16" t="s">
        <v>26</v>
      </c>
      <c r="I261" s="18">
        <v>2</v>
      </c>
      <c r="J261" s="19">
        <v>0.118929629479385</v>
      </c>
      <c r="K261" s="32">
        <f t="shared" si="9"/>
        <v>500</v>
      </c>
      <c r="L261" s="32">
        <f t="shared" si="10"/>
        <v>441</v>
      </c>
      <c r="M261" s="37">
        <f t="shared" si="11"/>
        <v>-59</v>
      </c>
    </row>
    <row r="262" spans="2:13">
      <c r="B262" s="12" t="s">
        <v>579</v>
      </c>
      <c r="C262" s="12" t="s">
        <v>1666</v>
      </c>
      <c r="D262" s="13">
        <v>44744</v>
      </c>
      <c r="E262" s="12" t="s">
        <v>1684</v>
      </c>
      <c r="F262" s="12" t="s">
        <v>1682</v>
      </c>
      <c r="G262" s="31">
        <v>130</v>
      </c>
      <c r="H262" s="12" t="s">
        <v>32</v>
      </c>
      <c r="I262" s="14">
        <v>5</v>
      </c>
      <c r="J262" s="15">
        <v>0.94178498482348305</v>
      </c>
      <c r="K262" s="31">
        <f t="shared" ref="K262:K325" si="12">PRODUCT(I262,G262)</f>
        <v>650</v>
      </c>
      <c r="L262" s="31">
        <f t="shared" ref="L262:L325" si="13">ROUND(K262*(1-J262),0)</f>
        <v>38</v>
      </c>
      <c r="M262" s="36">
        <f t="shared" si="11"/>
        <v>-612</v>
      </c>
    </row>
    <row r="263" spans="2:13">
      <c r="B263" s="16" t="s">
        <v>581</v>
      </c>
      <c r="C263" s="16" t="s">
        <v>1668</v>
      </c>
      <c r="D263" s="17">
        <v>44753</v>
      </c>
      <c r="E263" s="16" t="s">
        <v>1685</v>
      </c>
      <c r="F263" s="16" t="s">
        <v>1682</v>
      </c>
      <c r="G263" s="32">
        <v>60</v>
      </c>
      <c r="H263" s="16" t="s">
        <v>21</v>
      </c>
      <c r="I263" s="18">
        <v>5</v>
      </c>
      <c r="J263" s="19">
        <v>0.82224390590218999</v>
      </c>
      <c r="K263" s="32">
        <f t="shared" si="12"/>
        <v>300</v>
      </c>
      <c r="L263" s="32">
        <f t="shared" si="13"/>
        <v>53</v>
      </c>
      <c r="M263" s="37">
        <f t="shared" ref="M263:M326" si="14">ROUND(L263-K263,0)</f>
        <v>-247</v>
      </c>
    </row>
    <row r="264" spans="2:13">
      <c r="B264" s="12" t="s">
        <v>583</v>
      </c>
      <c r="C264" s="12" t="s">
        <v>1660</v>
      </c>
      <c r="D264" s="13">
        <v>44762</v>
      </c>
      <c r="E264" s="12" t="s">
        <v>1679</v>
      </c>
      <c r="F264" s="12" t="s">
        <v>1682</v>
      </c>
      <c r="G264" s="31">
        <v>72</v>
      </c>
      <c r="H264" s="12" t="s">
        <v>26</v>
      </c>
      <c r="I264" s="14">
        <v>10</v>
      </c>
      <c r="J264" s="15">
        <v>1.5473035826796201E-2</v>
      </c>
      <c r="K264" s="31">
        <f t="shared" si="12"/>
        <v>720</v>
      </c>
      <c r="L264" s="31">
        <f t="shared" si="13"/>
        <v>709</v>
      </c>
      <c r="M264" s="36">
        <f t="shared" si="14"/>
        <v>-11</v>
      </c>
    </row>
    <row r="265" spans="2:13">
      <c r="B265" s="16" t="s">
        <v>585</v>
      </c>
      <c r="C265" s="16" t="s">
        <v>1662</v>
      </c>
      <c r="D265" s="17">
        <v>44740</v>
      </c>
      <c r="E265" s="16" t="s">
        <v>1681</v>
      </c>
      <c r="F265" s="16" t="s">
        <v>1682</v>
      </c>
      <c r="G265" s="32">
        <v>65</v>
      </c>
      <c r="H265" s="16" t="s">
        <v>32</v>
      </c>
      <c r="I265" s="18">
        <v>3</v>
      </c>
      <c r="J265" s="19">
        <v>0.57002189482885501</v>
      </c>
      <c r="K265" s="32">
        <f t="shared" si="12"/>
        <v>195</v>
      </c>
      <c r="L265" s="32">
        <f t="shared" si="13"/>
        <v>84</v>
      </c>
      <c r="M265" s="37">
        <f t="shared" si="14"/>
        <v>-111</v>
      </c>
    </row>
    <row r="266" spans="2:13">
      <c r="B266" s="12" t="s">
        <v>587</v>
      </c>
      <c r="C266" s="12" t="s">
        <v>1664</v>
      </c>
      <c r="D266" s="13">
        <v>44729</v>
      </c>
      <c r="E266" s="12" t="s">
        <v>1683</v>
      </c>
      <c r="F266" s="12" t="s">
        <v>1680</v>
      </c>
      <c r="G266" s="31">
        <v>250</v>
      </c>
      <c r="H266" s="12" t="s">
        <v>21</v>
      </c>
      <c r="I266" s="14">
        <v>3</v>
      </c>
      <c r="J266" s="15">
        <v>0.22169123462523499</v>
      </c>
      <c r="K266" s="31">
        <f t="shared" si="12"/>
        <v>750</v>
      </c>
      <c r="L266" s="31">
        <f t="shared" si="13"/>
        <v>584</v>
      </c>
      <c r="M266" s="36">
        <f t="shared" si="14"/>
        <v>-166</v>
      </c>
    </row>
    <row r="267" spans="2:13">
      <c r="B267" s="16" t="s">
        <v>589</v>
      </c>
      <c r="C267" s="16" t="s">
        <v>1666</v>
      </c>
      <c r="D267" s="17">
        <v>44727</v>
      </c>
      <c r="E267" s="16" t="s">
        <v>1684</v>
      </c>
      <c r="F267" s="16" t="s">
        <v>1682</v>
      </c>
      <c r="G267" s="32">
        <v>130</v>
      </c>
      <c r="H267" s="16" t="s">
        <v>26</v>
      </c>
      <c r="I267" s="18">
        <v>6</v>
      </c>
      <c r="J267" s="19">
        <v>0.16327712663351299</v>
      </c>
      <c r="K267" s="32">
        <f t="shared" si="12"/>
        <v>780</v>
      </c>
      <c r="L267" s="32">
        <f t="shared" si="13"/>
        <v>653</v>
      </c>
      <c r="M267" s="37">
        <f t="shared" si="14"/>
        <v>-127</v>
      </c>
    </row>
    <row r="268" spans="2:13">
      <c r="B268" s="12" t="s">
        <v>591</v>
      </c>
      <c r="C268" s="12" t="s">
        <v>1660</v>
      </c>
      <c r="D268" s="13">
        <v>44734</v>
      </c>
      <c r="E268" s="12" t="s">
        <v>1679</v>
      </c>
      <c r="F268" s="12" t="s">
        <v>1680</v>
      </c>
      <c r="G268" s="31">
        <v>72</v>
      </c>
      <c r="H268" s="12" t="s">
        <v>32</v>
      </c>
      <c r="I268" s="14">
        <v>9</v>
      </c>
      <c r="J268" s="15">
        <v>0.71431849239690404</v>
      </c>
      <c r="K268" s="31">
        <f t="shared" si="12"/>
        <v>648</v>
      </c>
      <c r="L268" s="31">
        <f t="shared" si="13"/>
        <v>185</v>
      </c>
      <c r="M268" s="36">
        <f t="shared" si="14"/>
        <v>-463</v>
      </c>
    </row>
    <row r="269" spans="2:13">
      <c r="B269" s="16" t="s">
        <v>593</v>
      </c>
      <c r="C269" s="16" t="s">
        <v>1662</v>
      </c>
      <c r="D269" s="17">
        <v>44744</v>
      </c>
      <c r="E269" s="16" t="s">
        <v>1681</v>
      </c>
      <c r="F269" s="16" t="s">
        <v>1682</v>
      </c>
      <c r="G269" s="32">
        <v>65</v>
      </c>
      <c r="H269" s="16" t="s">
        <v>21</v>
      </c>
      <c r="I269" s="18">
        <v>7</v>
      </c>
      <c r="J269" s="19">
        <v>0.58151491016386703</v>
      </c>
      <c r="K269" s="32">
        <f t="shared" si="12"/>
        <v>455</v>
      </c>
      <c r="L269" s="32">
        <f t="shared" si="13"/>
        <v>190</v>
      </c>
      <c r="M269" s="37">
        <f t="shared" si="14"/>
        <v>-265</v>
      </c>
    </row>
    <row r="270" spans="2:13">
      <c r="B270" s="12" t="s">
        <v>595</v>
      </c>
      <c r="C270" s="12" t="s">
        <v>1664</v>
      </c>
      <c r="D270" s="13">
        <v>44737</v>
      </c>
      <c r="E270" s="12" t="s">
        <v>1683</v>
      </c>
      <c r="F270" s="12" t="s">
        <v>1680</v>
      </c>
      <c r="G270" s="31">
        <v>250</v>
      </c>
      <c r="H270" s="12" t="s">
        <v>26</v>
      </c>
      <c r="I270" s="14">
        <v>1</v>
      </c>
      <c r="J270" s="15">
        <v>0.94025500085845504</v>
      </c>
      <c r="K270" s="31">
        <f t="shared" si="12"/>
        <v>250</v>
      </c>
      <c r="L270" s="31">
        <f t="shared" si="13"/>
        <v>15</v>
      </c>
      <c r="M270" s="36">
        <f t="shared" si="14"/>
        <v>-235</v>
      </c>
    </row>
    <row r="271" spans="2:13">
      <c r="B271" s="16" t="s">
        <v>597</v>
      </c>
      <c r="C271" s="16" t="s">
        <v>1666</v>
      </c>
      <c r="D271" s="17">
        <v>44752</v>
      </c>
      <c r="E271" s="16" t="s">
        <v>1684</v>
      </c>
      <c r="F271" s="16" t="s">
        <v>1682</v>
      </c>
      <c r="G271" s="32">
        <v>130</v>
      </c>
      <c r="H271" s="16" t="s">
        <v>32</v>
      </c>
      <c r="I271" s="18">
        <v>3</v>
      </c>
      <c r="J271" s="19">
        <v>0.856960077333762</v>
      </c>
      <c r="K271" s="32">
        <f t="shared" si="12"/>
        <v>390</v>
      </c>
      <c r="L271" s="32">
        <f t="shared" si="13"/>
        <v>56</v>
      </c>
      <c r="M271" s="37">
        <f t="shared" si="14"/>
        <v>-334</v>
      </c>
    </row>
    <row r="272" spans="2:13">
      <c r="B272" s="12" t="s">
        <v>599</v>
      </c>
      <c r="C272" s="12" t="s">
        <v>1668</v>
      </c>
      <c r="D272" s="13">
        <v>44736</v>
      </c>
      <c r="E272" s="12" t="s">
        <v>1685</v>
      </c>
      <c r="F272" s="12" t="s">
        <v>1680</v>
      </c>
      <c r="G272" s="31">
        <v>60</v>
      </c>
      <c r="H272" s="12" t="s">
        <v>21</v>
      </c>
      <c r="I272" s="14">
        <v>6</v>
      </c>
      <c r="J272" s="15">
        <v>0.73704670632037705</v>
      </c>
      <c r="K272" s="31">
        <f t="shared" si="12"/>
        <v>360</v>
      </c>
      <c r="L272" s="31">
        <f t="shared" si="13"/>
        <v>95</v>
      </c>
      <c r="M272" s="36">
        <f t="shared" si="14"/>
        <v>-265</v>
      </c>
    </row>
    <row r="273" spans="2:13">
      <c r="B273" s="16" t="s">
        <v>601</v>
      </c>
      <c r="C273" s="16" t="s">
        <v>1669</v>
      </c>
      <c r="D273" s="17">
        <v>44752</v>
      </c>
      <c r="E273" s="16" t="s">
        <v>1686</v>
      </c>
      <c r="F273" s="16" t="s">
        <v>1682</v>
      </c>
      <c r="G273" s="32">
        <v>95</v>
      </c>
      <c r="H273" s="16" t="s">
        <v>26</v>
      </c>
      <c r="I273" s="18">
        <v>5</v>
      </c>
      <c r="J273" s="19">
        <v>0.995566745643514</v>
      </c>
      <c r="K273" s="32">
        <f t="shared" si="12"/>
        <v>475</v>
      </c>
      <c r="L273" s="32">
        <f t="shared" si="13"/>
        <v>2</v>
      </c>
      <c r="M273" s="37">
        <f t="shared" si="14"/>
        <v>-473</v>
      </c>
    </row>
    <row r="274" spans="2:13">
      <c r="B274" s="12" t="s">
        <v>603</v>
      </c>
      <c r="C274" s="12" t="s">
        <v>1660</v>
      </c>
      <c r="D274" s="13">
        <v>44759</v>
      </c>
      <c r="E274" s="12" t="s">
        <v>1679</v>
      </c>
      <c r="F274" s="12" t="s">
        <v>1680</v>
      </c>
      <c r="G274" s="31">
        <v>72</v>
      </c>
      <c r="H274" s="12" t="s">
        <v>32</v>
      </c>
      <c r="I274" s="14">
        <v>8</v>
      </c>
      <c r="J274" s="15">
        <v>0.82336237784945998</v>
      </c>
      <c r="K274" s="31">
        <f t="shared" si="12"/>
        <v>576</v>
      </c>
      <c r="L274" s="31">
        <f t="shared" si="13"/>
        <v>102</v>
      </c>
      <c r="M274" s="36">
        <f t="shared" si="14"/>
        <v>-474</v>
      </c>
    </row>
    <row r="275" spans="2:13">
      <c r="B275" s="16" t="s">
        <v>605</v>
      </c>
      <c r="C275" s="16" t="s">
        <v>1662</v>
      </c>
      <c r="D275" s="17">
        <v>44763</v>
      </c>
      <c r="E275" s="16" t="s">
        <v>1681</v>
      </c>
      <c r="F275" s="16" t="s">
        <v>1682</v>
      </c>
      <c r="G275" s="32">
        <v>65</v>
      </c>
      <c r="H275" s="16" t="s">
        <v>21</v>
      </c>
      <c r="I275" s="18">
        <v>13</v>
      </c>
      <c r="J275" s="19">
        <v>0.21429857063805499</v>
      </c>
      <c r="K275" s="32">
        <f t="shared" si="12"/>
        <v>845</v>
      </c>
      <c r="L275" s="32">
        <f t="shared" si="13"/>
        <v>664</v>
      </c>
      <c r="M275" s="37">
        <f t="shared" si="14"/>
        <v>-181</v>
      </c>
    </row>
    <row r="276" spans="2:13">
      <c r="B276" s="12" t="s">
        <v>607</v>
      </c>
      <c r="C276" s="12" t="s">
        <v>1664</v>
      </c>
      <c r="D276" s="13">
        <v>44763</v>
      </c>
      <c r="E276" s="12" t="s">
        <v>1683</v>
      </c>
      <c r="F276" s="12" t="s">
        <v>1680</v>
      </c>
      <c r="G276" s="31">
        <v>250</v>
      </c>
      <c r="H276" s="12" t="s">
        <v>26</v>
      </c>
      <c r="I276" s="14">
        <v>2</v>
      </c>
      <c r="J276" s="15">
        <v>0.98582463687112398</v>
      </c>
      <c r="K276" s="31">
        <f t="shared" si="12"/>
        <v>500</v>
      </c>
      <c r="L276" s="31">
        <f t="shared" si="13"/>
        <v>7</v>
      </c>
      <c r="M276" s="36">
        <f t="shared" si="14"/>
        <v>-493</v>
      </c>
    </row>
    <row r="277" spans="2:13">
      <c r="B277" s="16" t="s">
        <v>609</v>
      </c>
      <c r="C277" s="16" t="s">
        <v>1666</v>
      </c>
      <c r="D277" s="17">
        <v>44750</v>
      </c>
      <c r="E277" s="16" t="s">
        <v>1684</v>
      </c>
      <c r="F277" s="16" t="s">
        <v>1682</v>
      </c>
      <c r="G277" s="32">
        <v>130</v>
      </c>
      <c r="H277" s="16" t="s">
        <v>32</v>
      </c>
      <c r="I277" s="18">
        <v>6</v>
      </c>
      <c r="J277" s="19">
        <v>2.0787857004193899E-2</v>
      </c>
      <c r="K277" s="32">
        <f t="shared" si="12"/>
        <v>780</v>
      </c>
      <c r="L277" s="32">
        <f t="shared" si="13"/>
        <v>764</v>
      </c>
      <c r="M277" s="37">
        <f t="shared" si="14"/>
        <v>-16</v>
      </c>
    </row>
    <row r="278" spans="2:13">
      <c r="B278" s="12" t="s">
        <v>611</v>
      </c>
      <c r="C278" s="12" t="s">
        <v>1660</v>
      </c>
      <c r="D278" s="13">
        <v>44751</v>
      </c>
      <c r="E278" s="12" t="s">
        <v>1679</v>
      </c>
      <c r="F278" s="12" t="s">
        <v>1680</v>
      </c>
      <c r="G278" s="31">
        <v>72</v>
      </c>
      <c r="H278" s="12" t="s">
        <v>21</v>
      </c>
      <c r="I278" s="14">
        <v>8</v>
      </c>
      <c r="J278" s="15">
        <v>0.40430415511068202</v>
      </c>
      <c r="K278" s="31">
        <f t="shared" si="12"/>
        <v>576</v>
      </c>
      <c r="L278" s="31">
        <f t="shared" si="13"/>
        <v>343</v>
      </c>
      <c r="M278" s="36">
        <f t="shared" si="14"/>
        <v>-233</v>
      </c>
    </row>
    <row r="279" spans="2:13">
      <c r="B279" s="16" t="s">
        <v>613</v>
      </c>
      <c r="C279" s="16" t="s">
        <v>1662</v>
      </c>
      <c r="D279" s="17">
        <v>44736</v>
      </c>
      <c r="E279" s="16" t="s">
        <v>1681</v>
      </c>
      <c r="F279" s="16" t="s">
        <v>1682</v>
      </c>
      <c r="G279" s="32">
        <v>65</v>
      </c>
      <c r="H279" s="16" t="s">
        <v>26</v>
      </c>
      <c r="I279" s="18">
        <v>6</v>
      </c>
      <c r="J279" s="19">
        <v>0.862289362163704</v>
      </c>
      <c r="K279" s="32">
        <f t="shared" si="12"/>
        <v>390</v>
      </c>
      <c r="L279" s="32">
        <f t="shared" si="13"/>
        <v>54</v>
      </c>
      <c r="M279" s="37">
        <f t="shared" si="14"/>
        <v>-336</v>
      </c>
    </row>
    <row r="280" spans="2:13">
      <c r="B280" s="12" t="s">
        <v>615</v>
      </c>
      <c r="C280" s="12" t="s">
        <v>1664</v>
      </c>
      <c r="D280" s="13">
        <v>44737</v>
      </c>
      <c r="E280" s="12" t="s">
        <v>1683</v>
      </c>
      <c r="F280" s="12" t="s">
        <v>1680</v>
      </c>
      <c r="G280" s="31">
        <v>250</v>
      </c>
      <c r="H280" s="12" t="s">
        <v>32</v>
      </c>
      <c r="I280" s="14">
        <v>3</v>
      </c>
      <c r="J280" s="15">
        <v>0.202672002623937</v>
      </c>
      <c r="K280" s="31">
        <f t="shared" si="12"/>
        <v>750</v>
      </c>
      <c r="L280" s="31">
        <f t="shared" si="13"/>
        <v>598</v>
      </c>
      <c r="M280" s="36">
        <f t="shared" si="14"/>
        <v>-152</v>
      </c>
    </row>
    <row r="281" spans="2:13">
      <c r="B281" s="16" t="s">
        <v>617</v>
      </c>
      <c r="C281" s="16" t="s">
        <v>1666</v>
      </c>
      <c r="D281" s="17">
        <v>44744</v>
      </c>
      <c r="E281" s="16" t="s">
        <v>1679</v>
      </c>
      <c r="F281" s="16" t="s">
        <v>1682</v>
      </c>
      <c r="G281" s="32">
        <v>72</v>
      </c>
      <c r="H281" s="16" t="s">
        <v>21</v>
      </c>
      <c r="I281" s="18">
        <v>6</v>
      </c>
      <c r="J281" s="19">
        <v>0.42721330596563001</v>
      </c>
      <c r="K281" s="32">
        <f t="shared" si="12"/>
        <v>432</v>
      </c>
      <c r="L281" s="32">
        <f t="shared" si="13"/>
        <v>247</v>
      </c>
      <c r="M281" s="37">
        <f t="shared" si="14"/>
        <v>-185</v>
      </c>
    </row>
    <row r="282" spans="2:13">
      <c r="B282" s="12" t="s">
        <v>619</v>
      </c>
      <c r="C282" s="12" t="s">
        <v>1660</v>
      </c>
      <c r="D282" s="13">
        <v>44735</v>
      </c>
      <c r="E282" s="12" t="s">
        <v>1681</v>
      </c>
      <c r="F282" s="12" t="s">
        <v>1680</v>
      </c>
      <c r="G282" s="31">
        <v>65</v>
      </c>
      <c r="H282" s="12" t="s">
        <v>21</v>
      </c>
      <c r="I282" s="14">
        <v>13</v>
      </c>
      <c r="J282" s="15">
        <v>0.87108149970897397</v>
      </c>
      <c r="K282" s="31">
        <f t="shared" si="12"/>
        <v>845</v>
      </c>
      <c r="L282" s="31">
        <f t="shared" si="13"/>
        <v>109</v>
      </c>
      <c r="M282" s="36">
        <f t="shared" si="14"/>
        <v>-736</v>
      </c>
    </row>
    <row r="283" spans="2:13">
      <c r="B283" s="16" t="s">
        <v>621</v>
      </c>
      <c r="C283" s="16" t="s">
        <v>1662</v>
      </c>
      <c r="D283" s="17">
        <v>44751</v>
      </c>
      <c r="E283" s="16" t="s">
        <v>1683</v>
      </c>
      <c r="F283" s="16" t="s">
        <v>1682</v>
      </c>
      <c r="G283" s="32">
        <v>250</v>
      </c>
      <c r="H283" s="16" t="s">
        <v>26</v>
      </c>
      <c r="I283" s="18">
        <v>1</v>
      </c>
      <c r="J283" s="19">
        <v>2.6358009716956701E-2</v>
      </c>
      <c r="K283" s="32">
        <f t="shared" si="12"/>
        <v>250</v>
      </c>
      <c r="L283" s="32">
        <f t="shared" si="13"/>
        <v>243</v>
      </c>
      <c r="M283" s="37">
        <f t="shared" si="14"/>
        <v>-7</v>
      </c>
    </row>
    <row r="284" spans="2:13">
      <c r="B284" s="12" t="s">
        <v>623</v>
      </c>
      <c r="C284" s="12" t="s">
        <v>1664</v>
      </c>
      <c r="D284" s="13">
        <v>44726</v>
      </c>
      <c r="E284" s="12" t="s">
        <v>1684</v>
      </c>
      <c r="F284" s="12" t="s">
        <v>1682</v>
      </c>
      <c r="G284" s="31">
        <v>130</v>
      </c>
      <c r="H284" s="12" t="s">
        <v>32</v>
      </c>
      <c r="I284" s="14">
        <v>3</v>
      </c>
      <c r="J284" s="15">
        <v>0.77767785740350603</v>
      </c>
      <c r="K284" s="31">
        <f t="shared" si="12"/>
        <v>390</v>
      </c>
      <c r="L284" s="31">
        <f t="shared" si="13"/>
        <v>87</v>
      </c>
      <c r="M284" s="36">
        <f t="shared" si="14"/>
        <v>-303</v>
      </c>
    </row>
    <row r="285" spans="2:13">
      <c r="B285" s="16" t="s">
        <v>625</v>
      </c>
      <c r="C285" s="16" t="s">
        <v>1666</v>
      </c>
      <c r="D285" s="17">
        <v>44749</v>
      </c>
      <c r="E285" s="16" t="s">
        <v>1679</v>
      </c>
      <c r="F285" s="16" t="s">
        <v>1682</v>
      </c>
      <c r="G285" s="32">
        <v>72</v>
      </c>
      <c r="H285" s="16" t="s">
        <v>21</v>
      </c>
      <c r="I285" s="18">
        <v>3</v>
      </c>
      <c r="J285" s="19">
        <v>0.68682565144107499</v>
      </c>
      <c r="K285" s="32">
        <f t="shared" si="12"/>
        <v>216</v>
      </c>
      <c r="L285" s="32">
        <f t="shared" si="13"/>
        <v>68</v>
      </c>
      <c r="M285" s="37">
        <f t="shared" si="14"/>
        <v>-148</v>
      </c>
    </row>
    <row r="286" spans="2:13">
      <c r="B286" s="12" t="s">
        <v>627</v>
      </c>
      <c r="C286" s="12" t="s">
        <v>1660</v>
      </c>
      <c r="D286" s="13">
        <v>44734</v>
      </c>
      <c r="E286" s="12" t="s">
        <v>1681</v>
      </c>
      <c r="F286" s="12" t="s">
        <v>1682</v>
      </c>
      <c r="G286" s="31">
        <v>65</v>
      </c>
      <c r="H286" s="12" t="s">
        <v>26</v>
      </c>
      <c r="I286" s="14">
        <v>14</v>
      </c>
      <c r="J286" s="15">
        <v>0.58269109940879105</v>
      </c>
      <c r="K286" s="31">
        <f t="shared" si="12"/>
        <v>910</v>
      </c>
      <c r="L286" s="31">
        <f t="shared" si="13"/>
        <v>380</v>
      </c>
      <c r="M286" s="36">
        <f t="shared" si="14"/>
        <v>-530</v>
      </c>
    </row>
    <row r="287" spans="2:13">
      <c r="B287" s="16" t="s">
        <v>629</v>
      </c>
      <c r="C287" s="16" t="s">
        <v>1662</v>
      </c>
      <c r="D287" s="17">
        <v>44726</v>
      </c>
      <c r="E287" s="16" t="s">
        <v>1683</v>
      </c>
      <c r="F287" s="16" t="s">
        <v>1682</v>
      </c>
      <c r="G287" s="32">
        <v>250</v>
      </c>
      <c r="H287" s="16" t="s">
        <v>32</v>
      </c>
      <c r="I287" s="18">
        <v>3</v>
      </c>
      <c r="J287" s="19">
        <v>0.44339908275720802</v>
      </c>
      <c r="K287" s="32">
        <f t="shared" si="12"/>
        <v>750</v>
      </c>
      <c r="L287" s="32">
        <f t="shared" si="13"/>
        <v>417</v>
      </c>
      <c r="M287" s="37">
        <f t="shared" si="14"/>
        <v>-333</v>
      </c>
    </row>
    <row r="288" spans="2:13">
      <c r="B288" s="12" t="s">
        <v>631</v>
      </c>
      <c r="C288" s="12" t="s">
        <v>1664</v>
      </c>
      <c r="D288" s="13">
        <v>44743</v>
      </c>
      <c r="E288" s="12" t="s">
        <v>1684</v>
      </c>
      <c r="F288" s="12" t="s">
        <v>1680</v>
      </c>
      <c r="G288" s="31">
        <v>130</v>
      </c>
      <c r="H288" s="12" t="s">
        <v>21</v>
      </c>
      <c r="I288" s="14">
        <v>3</v>
      </c>
      <c r="J288" s="15">
        <v>0.125750368103208</v>
      </c>
      <c r="K288" s="31">
        <f t="shared" si="12"/>
        <v>390</v>
      </c>
      <c r="L288" s="31">
        <f t="shared" si="13"/>
        <v>341</v>
      </c>
      <c r="M288" s="36">
        <f t="shared" si="14"/>
        <v>-49</v>
      </c>
    </row>
    <row r="289" spans="2:13">
      <c r="B289" s="16" t="s">
        <v>633</v>
      </c>
      <c r="C289" s="16" t="s">
        <v>1666</v>
      </c>
      <c r="D289" s="17">
        <v>44742</v>
      </c>
      <c r="E289" s="16" t="s">
        <v>1685</v>
      </c>
      <c r="F289" s="16" t="s">
        <v>1682</v>
      </c>
      <c r="G289" s="32">
        <v>60</v>
      </c>
      <c r="H289" s="16" t="s">
        <v>26</v>
      </c>
      <c r="I289" s="18">
        <v>13</v>
      </c>
      <c r="J289" s="19">
        <v>0.58443763111426095</v>
      </c>
      <c r="K289" s="32">
        <f t="shared" si="12"/>
        <v>780</v>
      </c>
      <c r="L289" s="32">
        <f t="shared" si="13"/>
        <v>324</v>
      </c>
      <c r="M289" s="37">
        <f t="shared" si="14"/>
        <v>-456</v>
      </c>
    </row>
    <row r="290" spans="2:13">
      <c r="B290" s="12" t="s">
        <v>635</v>
      </c>
      <c r="C290" s="12" t="s">
        <v>1668</v>
      </c>
      <c r="D290" s="13">
        <v>44747</v>
      </c>
      <c r="E290" s="12" t="s">
        <v>1679</v>
      </c>
      <c r="F290" s="12" t="s">
        <v>1680</v>
      </c>
      <c r="G290" s="31">
        <v>72</v>
      </c>
      <c r="H290" s="12" t="s">
        <v>32</v>
      </c>
      <c r="I290" s="14">
        <v>11</v>
      </c>
      <c r="J290" s="15">
        <v>0.202698384273822</v>
      </c>
      <c r="K290" s="31">
        <f t="shared" si="12"/>
        <v>792</v>
      </c>
      <c r="L290" s="31">
        <f t="shared" si="13"/>
        <v>631</v>
      </c>
      <c r="M290" s="36">
        <f t="shared" si="14"/>
        <v>-161</v>
      </c>
    </row>
    <row r="291" spans="2:13">
      <c r="B291" s="16" t="s">
        <v>637</v>
      </c>
      <c r="C291" s="16" t="s">
        <v>1660</v>
      </c>
      <c r="D291" s="17">
        <v>44764</v>
      </c>
      <c r="E291" s="16" t="s">
        <v>1681</v>
      </c>
      <c r="F291" s="16" t="s">
        <v>1682</v>
      </c>
      <c r="G291" s="32">
        <v>65</v>
      </c>
      <c r="H291" s="16" t="s">
        <v>21</v>
      </c>
      <c r="I291" s="18">
        <v>5</v>
      </c>
      <c r="J291" s="19">
        <v>0.34588473967990302</v>
      </c>
      <c r="K291" s="32">
        <f t="shared" si="12"/>
        <v>325</v>
      </c>
      <c r="L291" s="32">
        <f t="shared" si="13"/>
        <v>213</v>
      </c>
      <c r="M291" s="37">
        <f t="shared" si="14"/>
        <v>-112</v>
      </c>
    </row>
    <row r="292" spans="2:13">
      <c r="B292" s="12" t="s">
        <v>639</v>
      </c>
      <c r="C292" s="12" t="s">
        <v>1662</v>
      </c>
      <c r="D292" s="13">
        <v>44735</v>
      </c>
      <c r="E292" s="12" t="s">
        <v>1683</v>
      </c>
      <c r="F292" s="12" t="s">
        <v>1680</v>
      </c>
      <c r="G292" s="31">
        <v>250</v>
      </c>
      <c r="H292" s="12" t="s">
        <v>26</v>
      </c>
      <c r="I292" s="14">
        <v>3</v>
      </c>
      <c r="J292" s="15">
        <v>0.44863071332489002</v>
      </c>
      <c r="K292" s="31">
        <f t="shared" si="12"/>
        <v>750</v>
      </c>
      <c r="L292" s="31">
        <f t="shared" si="13"/>
        <v>414</v>
      </c>
      <c r="M292" s="36">
        <f t="shared" si="14"/>
        <v>-336</v>
      </c>
    </row>
    <row r="293" spans="2:13">
      <c r="B293" s="16" t="s">
        <v>641</v>
      </c>
      <c r="C293" s="16" t="s">
        <v>1664</v>
      </c>
      <c r="D293" s="17">
        <v>44737</v>
      </c>
      <c r="E293" s="16" t="s">
        <v>1684</v>
      </c>
      <c r="F293" s="16" t="s">
        <v>1682</v>
      </c>
      <c r="G293" s="32">
        <v>130</v>
      </c>
      <c r="H293" s="16" t="s">
        <v>32</v>
      </c>
      <c r="I293" s="18">
        <v>2</v>
      </c>
      <c r="J293" s="19">
        <v>0.41195662281860601</v>
      </c>
      <c r="K293" s="32">
        <f t="shared" si="12"/>
        <v>260</v>
      </c>
      <c r="L293" s="32">
        <f t="shared" si="13"/>
        <v>153</v>
      </c>
      <c r="M293" s="37">
        <f t="shared" si="14"/>
        <v>-107</v>
      </c>
    </row>
    <row r="294" spans="2:13">
      <c r="B294" s="12" t="s">
        <v>643</v>
      </c>
      <c r="C294" s="12" t="s">
        <v>1666</v>
      </c>
      <c r="D294" s="13">
        <v>44749</v>
      </c>
      <c r="E294" s="12" t="s">
        <v>1679</v>
      </c>
      <c r="F294" s="12" t="s">
        <v>1680</v>
      </c>
      <c r="G294" s="31">
        <v>72</v>
      </c>
      <c r="H294" s="12" t="s">
        <v>21</v>
      </c>
      <c r="I294" s="14">
        <v>10</v>
      </c>
      <c r="J294" s="15">
        <v>0.78611978286567896</v>
      </c>
      <c r="K294" s="31">
        <f t="shared" si="12"/>
        <v>720</v>
      </c>
      <c r="L294" s="31">
        <f t="shared" si="13"/>
        <v>154</v>
      </c>
      <c r="M294" s="36">
        <f t="shared" si="14"/>
        <v>-566</v>
      </c>
    </row>
    <row r="295" spans="2:13">
      <c r="B295" s="16" t="s">
        <v>645</v>
      </c>
      <c r="C295" s="16" t="s">
        <v>1660</v>
      </c>
      <c r="D295" s="17">
        <v>44729</v>
      </c>
      <c r="E295" s="16" t="s">
        <v>1681</v>
      </c>
      <c r="F295" s="16" t="s">
        <v>1682</v>
      </c>
      <c r="G295" s="32">
        <v>65</v>
      </c>
      <c r="H295" s="16" t="s">
        <v>26</v>
      </c>
      <c r="I295" s="18">
        <v>12</v>
      </c>
      <c r="J295" s="19">
        <v>0.82093526112515203</v>
      </c>
      <c r="K295" s="32">
        <f t="shared" si="12"/>
        <v>780</v>
      </c>
      <c r="L295" s="32">
        <f t="shared" si="13"/>
        <v>140</v>
      </c>
      <c r="M295" s="37">
        <f t="shared" si="14"/>
        <v>-640</v>
      </c>
    </row>
    <row r="296" spans="2:13">
      <c r="B296" s="12" t="s">
        <v>647</v>
      </c>
      <c r="C296" s="12" t="s">
        <v>1662</v>
      </c>
      <c r="D296" s="13">
        <v>44738</v>
      </c>
      <c r="E296" s="12" t="s">
        <v>1683</v>
      </c>
      <c r="F296" s="12" t="s">
        <v>1680</v>
      </c>
      <c r="G296" s="31">
        <v>250</v>
      </c>
      <c r="H296" s="12" t="s">
        <v>32</v>
      </c>
      <c r="I296" s="14">
        <v>3</v>
      </c>
      <c r="J296" s="15">
        <v>0.56550558496143599</v>
      </c>
      <c r="K296" s="31">
        <f t="shared" si="12"/>
        <v>750</v>
      </c>
      <c r="L296" s="31">
        <f t="shared" si="13"/>
        <v>326</v>
      </c>
      <c r="M296" s="36">
        <f t="shared" si="14"/>
        <v>-424</v>
      </c>
    </row>
    <row r="297" spans="2:13">
      <c r="B297" s="16" t="s">
        <v>649</v>
      </c>
      <c r="C297" s="16" t="s">
        <v>1664</v>
      </c>
      <c r="D297" s="17">
        <v>44740</v>
      </c>
      <c r="E297" s="16" t="s">
        <v>1684</v>
      </c>
      <c r="F297" s="16" t="s">
        <v>1682</v>
      </c>
      <c r="G297" s="32">
        <v>130</v>
      </c>
      <c r="H297" s="16" t="s">
        <v>21</v>
      </c>
      <c r="I297" s="18">
        <v>4</v>
      </c>
      <c r="J297" s="19">
        <v>0.48001599413027601</v>
      </c>
      <c r="K297" s="32">
        <f t="shared" si="12"/>
        <v>520</v>
      </c>
      <c r="L297" s="32">
        <f t="shared" si="13"/>
        <v>270</v>
      </c>
      <c r="M297" s="37">
        <f t="shared" si="14"/>
        <v>-250</v>
      </c>
    </row>
    <row r="298" spans="2:13">
      <c r="B298" s="12" t="s">
        <v>651</v>
      </c>
      <c r="C298" s="12" t="s">
        <v>1666</v>
      </c>
      <c r="D298" s="13">
        <v>44755</v>
      </c>
      <c r="E298" s="12" t="s">
        <v>1685</v>
      </c>
      <c r="F298" s="12" t="s">
        <v>1680</v>
      </c>
      <c r="G298" s="31">
        <v>60</v>
      </c>
      <c r="H298" s="12" t="s">
        <v>26</v>
      </c>
      <c r="I298" s="14">
        <v>9</v>
      </c>
      <c r="J298" s="15">
        <v>0.80703544305681496</v>
      </c>
      <c r="K298" s="31">
        <f t="shared" si="12"/>
        <v>540</v>
      </c>
      <c r="L298" s="31">
        <f t="shared" si="13"/>
        <v>104</v>
      </c>
      <c r="M298" s="36">
        <f t="shared" si="14"/>
        <v>-436</v>
      </c>
    </row>
    <row r="299" spans="2:13">
      <c r="B299" s="16" t="s">
        <v>653</v>
      </c>
      <c r="C299" s="16" t="s">
        <v>1668</v>
      </c>
      <c r="D299" s="17">
        <v>44755</v>
      </c>
      <c r="E299" s="16" t="s">
        <v>1686</v>
      </c>
      <c r="F299" s="16" t="s">
        <v>1682</v>
      </c>
      <c r="G299" s="32">
        <v>95</v>
      </c>
      <c r="H299" s="16" t="s">
        <v>32</v>
      </c>
      <c r="I299" s="18">
        <v>6</v>
      </c>
      <c r="J299" s="19">
        <v>0.13472953271651</v>
      </c>
      <c r="K299" s="32">
        <f t="shared" si="12"/>
        <v>570</v>
      </c>
      <c r="L299" s="32">
        <f t="shared" si="13"/>
        <v>493</v>
      </c>
      <c r="M299" s="37">
        <f t="shared" si="14"/>
        <v>-77</v>
      </c>
    </row>
    <row r="300" spans="2:13">
      <c r="B300" s="12" t="s">
        <v>655</v>
      </c>
      <c r="C300" s="12" t="s">
        <v>1669</v>
      </c>
      <c r="D300" s="13">
        <v>44764</v>
      </c>
      <c r="E300" s="12" t="s">
        <v>1679</v>
      </c>
      <c r="F300" s="12" t="s">
        <v>1680</v>
      </c>
      <c r="G300" s="31">
        <v>72</v>
      </c>
      <c r="H300" s="12" t="s">
        <v>21</v>
      </c>
      <c r="I300" s="14">
        <v>9</v>
      </c>
      <c r="J300" s="15">
        <v>0.53735244514022196</v>
      </c>
      <c r="K300" s="31">
        <f t="shared" si="12"/>
        <v>648</v>
      </c>
      <c r="L300" s="31">
        <f t="shared" si="13"/>
        <v>300</v>
      </c>
      <c r="M300" s="36">
        <f t="shared" si="14"/>
        <v>-348</v>
      </c>
    </row>
    <row r="301" spans="2:13">
      <c r="B301" s="16" t="s">
        <v>657</v>
      </c>
      <c r="C301" s="16" t="s">
        <v>1660</v>
      </c>
      <c r="D301" s="17">
        <v>44735</v>
      </c>
      <c r="E301" s="16" t="s">
        <v>1681</v>
      </c>
      <c r="F301" s="16" t="s">
        <v>1682</v>
      </c>
      <c r="G301" s="32">
        <v>65</v>
      </c>
      <c r="H301" s="16" t="s">
        <v>26</v>
      </c>
      <c r="I301" s="18">
        <v>10</v>
      </c>
      <c r="J301" s="19">
        <v>0.86493253723020302</v>
      </c>
      <c r="K301" s="32">
        <f t="shared" si="12"/>
        <v>650</v>
      </c>
      <c r="L301" s="32">
        <f t="shared" si="13"/>
        <v>88</v>
      </c>
      <c r="M301" s="37">
        <f t="shared" si="14"/>
        <v>-562</v>
      </c>
    </row>
    <row r="302" spans="2:13">
      <c r="B302" s="12" t="s">
        <v>659</v>
      </c>
      <c r="C302" s="12" t="s">
        <v>1662</v>
      </c>
      <c r="D302" s="13">
        <v>44734</v>
      </c>
      <c r="E302" s="12" t="s">
        <v>1683</v>
      </c>
      <c r="F302" s="12" t="s">
        <v>1680</v>
      </c>
      <c r="G302" s="31">
        <v>250</v>
      </c>
      <c r="H302" s="12" t="s">
        <v>32</v>
      </c>
      <c r="I302" s="14">
        <v>2</v>
      </c>
      <c r="J302" s="15">
        <v>0.14635193252367401</v>
      </c>
      <c r="K302" s="31">
        <f t="shared" si="12"/>
        <v>500</v>
      </c>
      <c r="L302" s="31">
        <f t="shared" si="13"/>
        <v>427</v>
      </c>
      <c r="M302" s="36">
        <f t="shared" si="14"/>
        <v>-73</v>
      </c>
    </row>
    <row r="303" spans="2:13">
      <c r="B303" s="16" t="s">
        <v>661</v>
      </c>
      <c r="C303" s="16" t="s">
        <v>1664</v>
      </c>
      <c r="D303" s="17">
        <v>44728</v>
      </c>
      <c r="E303" s="16" t="s">
        <v>1684</v>
      </c>
      <c r="F303" s="16" t="s">
        <v>1682</v>
      </c>
      <c r="G303" s="32">
        <v>130</v>
      </c>
      <c r="H303" s="16" t="s">
        <v>21</v>
      </c>
      <c r="I303" s="18">
        <v>5</v>
      </c>
      <c r="J303" s="19">
        <v>0.49930216593502402</v>
      </c>
      <c r="K303" s="32">
        <f t="shared" si="12"/>
        <v>650</v>
      </c>
      <c r="L303" s="32">
        <f t="shared" si="13"/>
        <v>325</v>
      </c>
      <c r="M303" s="37">
        <f t="shared" si="14"/>
        <v>-325</v>
      </c>
    </row>
    <row r="304" spans="2:13">
      <c r="B304" s="12" t="s">
        <v>663</v>
      </c>
      <c r="C304" s="12" t="s">
        <v>1666</v>
      </c>
      <c r="D304" s="13">
        <v>44739</v>
      </c>
      <c r="E304" s="12" t="s">
        <v>1679</v>
      </c>
      <c r="F304" s="12" t="s">
        <v>1680</v>
      </c>
      <c r="G304" s="31">
        <v>72</v>
      </c>
      <c r="H304" s="12" t="s">
        <v>26</v>
      </c>
      <c r="I304" s="14">
        <v>4</v>
      </c>
      <c r="J304" s="15">
        <v>0.16760369217058799</v>
      </c>
      <c r="K304" s="31">
        <f t="shared" si="12"/>
        <v>288</v>
      </c>
      <c r="L304" s="31">
        <f t="shared" si="13"/>
        <v>240</v>
      </c>
      <c r="M304" s="36">
        <f t="shared" si="14"/>
        <v>-48</v>
      </c>
    </row>
    <row r="305" spans="2:13">
      <c r="B305" s="16" t="s">
        <v>665</v>
      </c>
      <c r="C305" s="16" t="s">
        <v>1660</v>
      </c>
      <c r="D305" s="17">
        <v>44765</v>
      </c>
      <c r="E305" s="16" t="s">
        <v>1681</v>
      </c>
      <c r="F305" s="16" t="s">
        <v>1682</v>
      </c>
      <c r="G305" s="32">
        <v>65</v>
      </c>
      <c r="H305" s="16" t="s">
        <v>32</v>
      </c>
      <c r="I305" s="18">
        <v>13</v>
      </c>
      <c r="J305" s="19">
        <v>0.57040391639924304</v>
      </c>
      <c r="K305" s="32">
        <f t="shared" si="12"/>
        <v>845</v>
      </c>
      <c r="L305" s="32">
        <f t="shared" si="13"/>
        <v>363</v>
      </c>
      <c r="M305" s="37">
        <f t="shared" si="14"/>
        <v>-482</v>
      </c>
    </row>
    <row r="306" spans="2:13">
      <c r="B306" s="12" t="s">
        <v>667</v>
      </c>
      <c r="C306" s="12" t="s">
        <v>1662</v>
      </c>
      <c r="D306" s="13">
        <v>44740</v>
      </c>
      <c r="E306" s="12" t="s">
        <v>1683</v>
      </c>
      <c r="F306" s="12" t="s">
        <v>1682</v>
      </c>
      <c r="G306" s="31">
        <v>250</v>
      </c>
      <c r="H306" s="12" t="s">
        <v>21</v>
      </c>
      <c r="I306" s="14">
        <v>2</v>
      </c>
      <c r="J306" s="15">
        <v>0.35240472893682601</v>
      </c>
      <c r="K306" s="31">
        <f t="shared" si="12"/>
        <v>500</v>
      </c>
      <c r="L306" s="31">
        <f t="shared" si="13"/>
        <v>324</v>
      </c>
      <c r="M306" s="36">
        <f t="shared" si="14"/>
        <v>-176</v>
      </c>
    </row>
    <row r="307" spans="2:13">
      <c r="B307" s="16" t="s">
        <v>669</v>
      </c>
      <c r="C307" s="16" t="s">
        <v>1664</v>
      </c>
      <c r="D307" s="17">
        <v>44734</v>
      </c>
      <c r="E307" s="16" t="s">
        <v>1684</v>
      </c>
      <c r="F307" s="16" t="s">
        <v>1682</v>
      </c>
      <c r="G307" s="32">
        <v>130</v>
      </c>
      <c r="H307" s="16" t="s">
        <v>26</v>
      </c>
      <c r="I307" s="18">
        <v>3</v>
      </c>
      <c r="J307" s="19">
        <v>0.112080921562423</v>
      </c>
      <c r="K307" s="32">
        <f t="shared" si="12"/>
        <v>390</v>
      </c>
      <c r="L307" s="32">
        <f t="shared" si="13"/>
        <v>346</v>
      </c>
      <c r="M307" s="37">
        <f t="shared" si="14"/>
        <v>-44</v>
      </c>
    </row>
    <row r="308" spans="2:13">
      <c r="B308" s="12" t="s">
        <v>671</v>
      </c>
      <c r="C308" s="12" t="s">
        <v>1666</v>
      </c>
      <c r="D308" s="13">
        <v>44727</v>
      </c>
      <c r="E308" s="12" t="s">
        <v>1685</v>
      </c>
      <c r="F308" s="12" t="s">
        <v>1682</v>
      </c>
      <c r="G308" s="31">
        <v>60</v>
      </c>
      <c r="H308" s="12" t="s">
        <v>32</v>
      </c>
      <c r="I308" s="14">
        <v>10</v>
      </c>
      <c r="J308" s="15">
        <v>0.57839134647100099</v>
      </c>
      <c r="K308" s="31">
        <f t="shared" si="12"/>
        <v>600</v>
      </c>
      <c r="L308" s="31">
        <f t="shared" si="13"/>
        <v>253</v>
      </c>
      <c r="M308" s="36">
        <f t="shared" si="14"/>
        <v>-347</v>
      </c>
    </row>
    <row r="309" spans="2:13">
      <c r="B309" s="16" t="s">
        <v>673</v>
      </c>
      <c r="C309" s="16" t="s">
        <v>1668</v>
      </c>
      <c r="D309" s="17">
        <v>44737</v>
      </c>
      <c r="E309" s="16" t="s">
        <v>1679</v>
      </c>
      <c r="F309" s="16" t="s">
        <v>1682</v>
      </c>
      <c r="G309" s="32">
        <v>72</v>
      </c>
      <c r="H309" s="16" t="s">
        <v>21</v>
      </c>
      <c r="I309" s="18">
        <v>9</v>
      </c>
      <c r="J309" s="19">
        <v>0.18785567306752601</v>
      </c>
      <c r="K309" s="32">
        <f t="shared" si="12"/>
        <v>648</v>
      </c>
      <c r="L309" s="32">
        <f t="shared" si="13"/>
        <v>526</v>
      </c>
      <c r="M309" s="37">
        <f t="shared" si="14"/>
        <v>-122</v>
      </c>
    </row>
    <row r="310" spans="2:13">
      <c r="B310" s="12" t="s">
        <v>675</v>
      </c>
      <c r="C310" s="12" t="s">
        <v>1660</v>
      </c>
      <c r="D310" s="13">
        <v>44747</v>
      </c>
      <c r="E310" s="12" t="s">
        <v>1681</v>
      </c>
      <c r="F310" s="12" t="s">
        <v>1680</v>
      </c>
      <c r="G310" s="31">
        <v>65</v>
      </c>
      <c r="H310" s="12" t="s">
        <v>26</v>
      </c>
      <c r="I310" s="14">
        <v>8</v>
      </c>
      <c r="J310" s="15">
        <v>0.69234786906479895</v>
      </c>
      <c r="K310" s="31">
        <f t="shared" si="12"/>
        <v>520</v>
      </c>
      <c r="L310" s="31">
        <f t="shared" si="13"/>
        <v>160</v>
      </c>
      <c r="M310" s="36">
        <f t="shared" si="14"/>
        <v>-360</v>
      </c>
    </row>
    <row r="311" spans="2:13">
      <c r="B311" s="16" t="s">
        <v>677</v>
      </c>
      <c r="C311" s="16" t="s">
        <v>1662</v>
      </c>
      <c r="D311" s="17">
        <v>44754</v>
      </c>
      <c r="E311" s="16" t="s">
        <v>1683</v>
      </c>
      <c r="F311" s="16" t="s">
        <v>1682</v>
      </c>
      <c r="G311" s="32">
        <v>250</v>
      </c>
      <c r="H311" s="16" t="s">
        <v>32</v>
      </c>
      <c r="I311" s="18">
        <v>3</v>
      </c>
      <c r="J311" s="19">
        <v>0.73131054716376698</v>
      </c>
      <c r="K311" s="32">
        <f t="shared" si="12"/>
        <v>750</v>
      </c>
      <c r="L311" s="32">
        <f t="shared" si="13"/>
        <v>202</v>
      </c>
      <c r="M311" s="37">
        <f t="shared" si="14"/>
        <v>-548</v>
      </c>
    </row>
    <row r="312" spans="2:13">
      <c r="B312" s="12" t="s">
        <v>679</v>
      </c>
      <c r="C312" s="12" t="s">
        <v>1664</v>
      </c>
      <c r="D312" s="13">
        <v>44760</v>
      </c>
      <c r="E312" s="12" t="s">
        <v>1684</v>
      </c>
      <c r="F312" s="12" t="s">
        <v>1680</v>
      </c>
      <c r="G312" s="31">
        <v>130</v>
      </c>
      <c r="H312" s="12" t="s">
        <v>21</v>
      </c>
      <c r="I312" s="14">
        <v>3</v>
      </c>
      <c r="J312" s="15">
        <v>0.39651294953245197</v>
      </c>
      <c r="K312" s="31">
        <f t="shared" si="12"/>
        <v>390</v>
      </c>
      <c r="L312" s="31">
        <f t="shared" si="13"/>
        <v>235</v>
      </c>
      <c r="M312" s="36">
        <f t="shared" si="14"/>
        <v>-155</v>
      </c>
    </row>
    <row r="313" spans="2:13">
      <c r="B313" s="16" t="s">
        <v>681</v>
      </c>
      <c r="C313" s="16" t="s">
        <v>1666</v>
      </c>
      <c r="D313" s="17">
        <v>44759</v>
      </c>
      <c r="E313" s="16" t="s">
        <v>1679</v>
      </c>
      <c r="F313" s="16" t="s">
        <v>1682</v>
      </c>
      <c r="G313" s="32">
        <v>72</v>
      </c>
      <c r="H313" s="16" t="s">
        <v>26</v>
      </c>
      <c r="I313" s="18">
        <v>5</v>
      </c>
      <c r="J313" s="19">
        <v>0.47053293956185099</v>
      </c>
      <c r="K313" s="32">
        <f t="shared" si="12"/>
        <v>360</v>
      </c>
      <c r="L313" s="32">
        <f t="shared" si="13"/>
        <v>191</v>
      </c>
      <c r="M313" s="37">
        <f t="shared" si="14"/>
        <v>-169</v>
      </c>
    </row>
    <row r="314" spans="2:13">
      <c r="B314" s="12" t="s">
        <v>683</v>
      </c>
      <c r="C314" s="12" t="s">
        <v>1660</v>
      </c>
      <c r="D314" s="13">
        <v>44735</v>
      </c>
      <c r="E314" s="12" t="s">
        <v>1681</v>
      </c>
      <c r="F314" s="12" t="s">
        <v>1680</v>
      </c>
      <c r="G314" s="31">
        <v>65</v>
      </c>
      <c r="H314" s="12" t="s">
        <v>32</v>
      </c>
      <c r="I314" s="14">
        <v>9</v>
      </c>
      <c r="J314" s="15">
        <v>0.90224248458364198</v>
      </c>
      <c r="K314" s="31">
        <f t="shared" si="12"/>
        <v>585</v>
      </c>
      <c r="L314" s="31">
        <f t="shared" si="13"/>
        <v>57</v>
      </c>
      <c r="M314" s="36">
        <f t="shared" si="14"/>
        <v>-528</v>
      </c>
    </row>
    <row r="315" spans="2:13">
      <c r="B315" s="16" t="s">
        <v>685</v>
      </c>
      <c r="C315" s="16" t="s">
        <v>1662</v>
      </c>
      <c r="D315" s="17">
        <v>44734</v>
      </c>
      <c r="E315" s="16" t="s">
        <v>1683</v>
      </c>
      <c r="F315" s="16" t="s">
        <v>1682</v>
      </c>
      <c r="G315" s="32">
        <v>250</v>
      </c>
      <c r="H315" s="16" t="s">
        <v>21</v>
      </c>
      <c r="I315" s="18">
        <v>1</v>
      </c>
      <c r="J315" s="19">
        <v>0.25057968884738402</v>
      </c>
      <c r="K315" s="32">
        <f t="shared" si="12"/>
        <v>250</v>
      </c>
      <c r="L315" s="32">
        <f t="shared" si="13"/>
        <v>187</v>
      </c>
      <c r="M315" s="37">
        <f t="shared" si="14"/>
        <v>-63</v>
      </c>
    </row>
    <row r="316" spans="2:13">
      <c r="B316" s="12" t="s">
        <v>687</v>
      </c>
      <c r="C316" s="12" t="s">
        <v>1664</v>
      </c>
      <c r="D316" s="13">
        <v>44753</v>
      </c>
      <c r="E316" s="12" t="s">
        <v>1684</v>
      </c>
      <c r="F316" s="12" t="s">
        <v>1680</v>
      </c>
      <c r="G316" s="31">
        <v>130</v>
      </c>
      <c r="H316" s="12" t="s">
        <v>26</v>
      </c>
      <c r="I316" s="14">
        <v>4</v>
      </c>
      <c r="J316" s="15">
        <v>0.56892266919679102</v>
      </c>
      <c r="K316" s="31">
        <f t="shared" si="12"/>
        <v>520</v>
      </c>
      <c r="L316" s="31">
        <f t="shared" si="13"/>
        <v>224</v>
      </c>
      <c r="M316" s="36">
        <f t="shared" si="14"/>
        <v>-296</v>
      </c>
    </row>
    <row r="317" spans="2:13">
      <c r="B317" s="16" t="s">
        <v>689</v>
      </c>
      <c r="C317" s="16" t="s">
        <v>1666</v>
      </c>
      <c r="D317" s="17">
        <v>44739</v>
      </c>
      <c r="E317" s="16" t="s">
        <v>1685</v>
      </c>
      <c r="F317" s="16" t="s">
        <v>1682</v>
      </c>
      <c r="G317" s="32">
        <v>60</v>
      </c>
      <c r="H317" s="16" t="s">
        <v>32</v>
      </c>
      <c r="I317" s="18">
        <v>6</v>
      </c>
      <c r="J317" s="19">
        <v>3.3571061374167203E-2</v>
      </c>
      <c r="K317" s="32">
        <f t="shared" si="12"/>
        <v>360</v>
      </c>
      <c r="L317" s="32">
        <f t="shared" si="13"/>
        <v>348</v>
      </c>
      <c r="M317" s="37">
        <f t="shared" si="14"/>
        <v>-12</v>
      </c>
    </row>
    <row r="318" spans="2:13">
      <c r="B318" s="12" t="s">
        <v>691</v>
      </c>
      <c r="C318" s="12" t="s">
        <v>1668</v>
      </c>
      <c r="D318" s="13">
        <v>44740</v>
      </c>
      <c r="E318" s="12" t="s">
        <v>1686</v>
      </c>
      <c r="F318" s="12" t="s">
        <v>1680</v>
      </c>
      <c r="G318" s="31">
        <v>95</v>
      </c>
      <c r="H318" s="12" t="s">
        <v>21</v>
      </c>
      <c r="I318" s="14">
        <v>4</v>
      </c>
      <c r="J318" s="15">
        <v>0.11797039324964401</v>
      </c>
      <c r="K318" s="31">
        <f t="shared" si="12"/>
        <v>380</v>
      </c>
      <c r="L318" s="31">
        <f t="shared" si="13"/>
        <v>335</v>
      </c>
      <c r="M318" s="36">
        <f t="shared" si="14"/>
        <v>-45</v>
      </c>
    </row>
    <row r="319" spans="2:13">
      <c r="B319" s="16" t="s">
        <v>693</v>
      </c>
      <c r="C319" s="16" t="s">
        <v>1669</v>
      </c>
      <c r="D319" s="17">
        <v>44748</v>
      </c>
      <c r="E319" s="16" t="s">
        <v>1679</v>
      </c>
      <c r="F319" s="16" t="s">
        <v>1682</v>
      </c>
      <c r="G319" s="32">
        <v>72</v>
      </c>
      <c r="H319" s="16" t="s">
        <v>26</v>
      </c>
      <c r="I319" s="18">
        <v>8</v>
      </c>
      <c r="J319" s="19">
        <v>2.8176385964748699E-2</v>
      </c>
      <c r="K319" s="32">
        <f t="shared" si="12"/>
        <v>576</v>
      </c>
      <c r="L319" s="32">
        <f t="shared" si="13"/>
        <v>560</v>
      </c>
      <c r="M319" s="37">
        <f t="shared" si="14"/>
        <v>-16</v>
      </c>
    </row>
    <row r="320" spans="2:13">
      <c r="B320" s="12" t="s">
        <v>695</v>
      </c>
      <c r="C320" s="12" t="s">
        <v>1660</v>
      </c>
      <c r="D320" s="13">
        <v>44731</v>
      </c>
      <c r="E320" s="12" t="s">
        <v>1681</v>
      </c>
      <c r="F320" s="12" t="s">
        <v>1680</v>
      </c>
      <c r="G320" s="31">
        <v>65</v>
      </c>
      <c r="H320" s="12" t="s">
        <v>32</v>
      </c>
      <c r="I320" s="14">
        <v>8</v>
      </c>
      <c r="J320" s="15">
        <v>0.66941136725758899</v>
      </c>
      <c r="K320" s="31">
        <f t="shared" si="12"/>
        <v>520</v>
      </c>
      <c r="L320" s="31">
        <f t="shared" si="13"/>
        <v>172</v>
      </c>
      <c r="M320" s="36">
        <f t="shared" si="14"/>
        <v>-348</v>
      </c>
    </row>
    <row r="321" spans="2:13">
      <c r="B321" s="16" t="s">
        <v>697</v>
      </c>
      <c r="C321" s="16" t="s">
        <v>1662</v>
      </c>
      <c r="D321" s="17">
        <v>44763</v>
      </c>
      <c r="E321" s="16" t="s">
        <v>1683</v>
      </c>
      <c r="F321" s="16" t="s">
        <v>1682</v>
      </c>
      <c r="G321" s="32">
        <v>250</v>
      </c>
      <c r="H321" s="16" t="s">
        <v>21</v>
      </c>
      <c r="I321" s="18">
        <v>2</v>
      </c>
      <c r="J321" s="19">
        <v>0.36448172495541797</v>
      </c>
      <c r="K321" s="32">
        <f t="shared" si="12"/>
        <v>500</v>
      </c>
      <c r="L321" s="32">
        <f t="shared" si="13"/>
        <v>318</v>
      </c>
      <c r="M321" s="37">
        <f t="shared" si="14"/>
        <v>-182</v>
      </c>
    </row>
    <row r="322" spans="2:13">
      <c r="B322" s="12" t="s">
        <v>699</v>
      </c>
      <c r="C322" s="12" t="s">
        <v>1664</v>
      </c>
      <c r="D322" s="13">
        <v>44733</v>
      </c>
      <c r="E322" s="12" t="s">
        <v>1684</v>
      </c>
      <c r="F322" s="12" t="s">
        <v>1680</v>
      </c>
      <c r="G322" s="31">
        <v>130</v>
      </c>
      <c r="H322" s="12" t="s">
        <v>26</v>
      </c>
      <c r="I322" s="14">
        <v>7</v>
      </c>
      <c r="J322" s="15">
        <v>0.15416488306079801</v>
      </c>
      <c r="K322" s="31">
        <f t="shared" si="12"/>
        <v>910</v>
      </c>
      <c r="L322" s="31">
        <f t="shared" si="13"/>
        <v>770</v>
      </c>
      <c r="M322" s="36">
        <f t="shared" si="14"/>
        <v>-140</v>
      </c>
    </row>
    <row r="323" spans="2:13">
      <c r="B323" s="16" t="s">
        <v>701</v>
      </c>
      <c r="C323" s="16" t="s">
        <v>1666</v>
      </c>
      <c r="D323" s="17">
        <v>44746</v>
      </c>
      <c r="E323" s="16" t="s">
        <v>1679</v>
      </c>
      <c r="F323" s="16" t="s">
        <v>1682</v>
      </c>
      <c r="G323" s="32">
        <v>72</v>
      </c>
      <c r="H323" s="16" t="s">
        <v>32</v>
      </c>
      <c r="I323" s="18">
        <v>7</v>
      </c>
      <c r="J323" s="19">
        <v>0.66646609625242903</v>
      </c>
      <c r="K323" s="32">
        <f t="shared" si="12"/>
        <v>504</v>
      </c>
      <c r="L323" s="32">
        <f t="shared" si="13"/>
        <v>168</v>
      </c>
      <c r="M323" s="37">
        <f t="shared" si="14"/>
        <v>-336</v>
      </c>
    </row>
    <row r="324" spans="2:13">
      <c r="B324" s="12" t="s">
        <v>703</v>
      </c>
      <c r="C324" s="12" t="s">
        <v>1660</v>
      </c>
      <c r="D324" s="13">
        <v>44755</v>
      </c>
      <c r="E324" s="12" t="s">
        <v>1681</v>
      </c>
      <c r="F324" s="12" t="s">
        <v>1680</v>
      </c>
      <c r="G324" s="31">
        <v>65</v>
      </c>
      <c r="H324" s="12" t="s">
        <v>21</v>
      </c>
      <c r="I324" s="14">
        <v>4</v>
      </c>
      <c r="J324" s="15">
        <v>0.69183752034253299</v>
      </c>
      <c r="K324" s="31">
        <f t="shared" si="12"/>
        <v>260</v>
      </c>
      <c r="L324" s="31">
        <f t="shared" si="13"/>
        <v>80</v>
      </c>
      <c r="M324" s="36">
        <f t="shared" si="14"/>
        <v>-180</v>
      </c>
    </row>
    <row r="325" spans="2:13">
      <c r="B325" s="16" t="s">
        <v>705</v>
      </c>
      <c r="C325" s="16" t="s">
        <v>1662</v>
      </c>
      <c r="D325" s="17">
        <v>44755</v>
      </c>
      <c r="E325" s="16" t="s">
        <v>1683</v>
      </c>
      <c r="F325" s="16" t="s">
        <v>1682</v>
      </c>
      <c r="G325" s="32">
        <v>250</v>
      </c>
      <c r="H325" s="16" t="s">
        <v>26</v>
      </c>
      <c r="I325" s="18">
        <v>2</v>
      </c>
      <c r="J325" s="19">
        <v>0.14649599591234699</v>
      </c>
      <c r="K325" s="32">
        <f t="shared" si="12"/>
        <v>500</v>
      </c>
      <c r="L325" s="32">
        <f t="shared" si="13"/>
        <v>427</v>
      </c>
      <c r="M325" s="37">
        <f t="shared" si="14"/>
        <v>-73</v>
      </c>
    </row>
    <row r="326" spans="2:13">
      <c r="B326" s="12" t="s">
        <v>707</v>
      </c>
      <c r="C326" s="12" t="s">
        <v>1664</v>
      </c>
      <c r="D326" s="13">
        <v>44727</v>
      </c>
      <c r="E326" s="12" t="s">
        <v>1684</v>
      </c>
      <c r="F326" s="12" t="s">
        <v>1680</v>
      </c>
      <c r="G326" s="31">
        <v>130</v>
      </c>
      <c r="H326" s="12" t="s">
        <v>32</v>
      </c>
      <c r="I326" s="14">
        <v>2</v>
      </c>
      <c r="J326" s="15">
        <v>0.98540635482364003</v>
      </c>
      <c r="K326" s="31">
        <f t="shared" ref="K326:K389" si="15">PRODUCT(I326,G326)</f>
        <v>260</v>
      </c>
      <c r="L326" s="31">
        <f t="shared" ref="L326:L389" si="16">ROUND(K326*(1-J326),0)</f>
        <v>4</v>
      </c>
      <c r="M326" s="36">
        <f t="shared" si="14"/>
        <v>-256</v>
      </c>
    </row>
    <row r="327" spans="2:13">
      <c r="B327" s="16" t="s">
        <v>709</v>
      </c>
      <c r="C327" s="16" t="s">
        <v>1666</v>
      </c>
      <c r="D327" s="17">
        <v>44746</v>
      </c>
      <c r="E327" s="16" t="s">
        <v>1679</v>
      </c>
      <c r="F327" s="16" t="s">
        <v>1682</v>
      </c>
      <c r="G327" s="32">
        <v>72</v>
      </c>
      <c r="H327" s="16" t="s">
        <v>21</v>
      </c>
      <c r="I327" s="18">
        <v>9</v>
      </c>
      <c r="J327" s="19">
        <v>0.32091320735788698</v>
      </c>
      <c r="K327" s="32">
        <f t="shared" si="15"/>
        <v>648</v>
      </c>
      <c r="L327" s="32">
        <f t="shared" si="16"/>
        <v>440</v>
      </c>
      <c r="M327" s="37">
        <f t="shared" ref="M327:M390" si="17">ROUND(L327-K327,0)</f>
        <v>-208</v>
      </c>
    </row>
    <row r="328" spans="2:13">
      <c r="B328" s="12" t="s">
        <v>711</v>
      </c>
      <c r="C328" s="12" t="s">
        <v>1660</v>
      </c>
      <c r="D328" s="13">
        <v>44740</v>
      </c>
      <c r="E328" s="12" t="s">
        <v>1681</v>
      </c>
      <c r="F328" s="12" t="s">
        <v>1682</v>
      </c>
      <c r="G328" s="31">
        <v>65</v>
      </c>
      <c r="H328" s="12" t="s">
        <v>21</v>
      </c>
      <c r="I328" s="14">
        <v>9</v>
      </c>
      <c r="J328" s="15">
        <v>0.94495394109275699</v>
      </c>
      <c r="K328" s="31">
        <f t="shared" si="15"/>
        <v>585</v>
      </c>
      <c r="L328" s="31">
        <f t="shared" si="16"/>
        <v>32</v>
      </c>
      <c r="M328" s="36">
        <f t="shared" si="17"/>
        <v>-553</v>
      </c>
    </row>
    <row r="329" spans="2:13">
      <c r="B329" s="16" t="s">
        <v>713</v>
      </c>
      <c r="C329" s="16" t="s">
        <v>1662</v>
      </c>
      <c r="D329" s="17">
        <v>44743</v>
      </c>
      <c r="E329" s="16" t="s">
        <v>1683</v>
      </c>
      <c r="F329" s="16" t="s">
        <v>1682</v>
      </c>
      <c r="G329" s="32">
        <v>250</v>
      </c>
      <c r="H329" s="16" t="s">
        <v>26</v>
      </c>
      <c r="I329" s="18">
        <v>2</v>
      </c>
      <c r="J329" s="19">
        <v>0.509067480271997</v>
      </c>
      <c r="K329" s="32">
        <f t="shared" si="15"/>
        <v>500</v>
      </c>
      <c r="L329" s="32">
        <f t="shared" si="16"/>
        <v>245</v>
      </c>
      <c r="M329" s="37">
        <f t="shared" si="17"/>
        <v>-255</v>
      </c>
    </row>
    <row r="330" spans="2:13">
      <c r="B330" s="12" t="s">
        <v>715</v>
      </c>
      <c r="C330" s="12" t="s">
        <v>1664</v>
      </c>
      <c r="D330" s="13">
        <v>44737</v>
      </c>
      <c r="E330" s="12" t="s">
        <v>1684</v>
      </c>
      <c r="F330" s="12" t="s">
        <v>1682</v>
      </c>
      <c r="G330" s="31">
        <v>130</v>
      </c>
      <c r="H330" s="12" t="s">
        <v>32</v>
      </c>
      <c r="I330" s="14">
        <v>4</v>
      </c>
      <c r="J330" s="15">
        <v>0.66059053266706302</v>
      </c>
      <c r="K330" s="31">
        <f t="shared" si="15"/>
        <v>520</v>
      </c>
      <c r="L330" s="31">
        <f t="shared" si="16"/>
        <v>176</v>
      </c>
      <c r="M330" s="36">
        <f t="shared" si="17"/>
        <v>-344</v>
      </c>
    </row>
    <row r="331" spans="2:13">
      <c r="B331" s="16" t="s">
        <v>717</v>
      </c>
      <c r="C331" s="16" t="s">
        <v>1666</v>
      </c>
      <c r="D331" s="17">
        <v>44757</v>
      </c>
      <c r="E331" s="16" t="s">
        <v>1679</v>
      </c>
      <c r="F331" s="16" t="s">
        <v>1682</v>
      </c>
      <c r="G331" s="32">
        <v>72</v>
      </c>
      <c r="H331" s="16" t="s">
        <v>21</v>
      </c>
      <c r="I331" s="18">
        <v>8</v>
      </c>
      <c r="J331" s="19">
        <v>0.89615601403703105</v>
      </c>
      <c r="K331" s="32">
        <f t="shared" si="15"/>
        <v>576</v>
      </c>
      <c r="L331" s="32">
        <f t="shared" si="16"/>
        <v>60</v>
      </c>
      <c r="M331" s="37">
        <f t="shared" si="17"/>
        <v>-516</v>
      </c>
    </row>
    <row r="332" spans="2:13">
      <c r="B332" s="12" t="s">
        <v>719</v>
      </c>
      <c r="C332" s="12" t="s">
        <v>1660</v>
      </c>
      <c r="D332" s="13">
        <v>44745</v>
      </c>
      <c r="E332" s="12" t="s">
        <v>1681</v>
      </c>
      <c r="F332" s="12" t="s">
        <v>1680</v>
      </c>
      <c r="G332" s="31">
        <v>65</v>
      </c>
      <c r="H332" s="12" t="s">
        <v>26</v>
      </c>
      <c r="I332" s="14">
        <v>8</v>
      </c>
      <c r="J332" s="15">
        <v>0.133950017527805</v>
      </c>
      <c r="K332" s="31">
        <f t="shared" si="15"/>
        <v>520</v>
      </c>
      <c r="L332" s="31">
        <f t="shared" si="16"/>
        <v>450</v>
      </c>
      <c r="M332" s="36">
        <f t="shared" si="17"/>
        <v>-70</v>
      </c>
    </row>
    <row r="333" spans="2:13">
      <c r="B333" s="16" t="s">
        <v>721</v>
      </c>
      <c r="C333" s="16" t="s">
        <v>1662</v>
      </c>
      <c r="D333" s="17">
        <v>44760</v>
      </c>
      <c r="E333" s="16" t="s">
        <v>1683</v>
      </c>
      <c r="F333" s="16" t="s">
        <v>1682</v>
      </c>
      <c r="G333" s="32">
        <v>250</v>
      </c>
      <c r="H333" s="16" t="s">
        <v>32</v>
      </c>
      <c r="I333" s="18">
        <v>4</v>
      </c>
      <c r="J333" s="19">
        <v>0.38237972979984702</v>
      </c>
      <c r="K333" s="32">
        <f t="shared" si="15"/>
        <v>1000</v>
      </c>
      <c r="L333" s="32">
        <f t="shared" si="16"/>
        <v>618</v>
      </c>
      <c r="M333" s="37">
        <f t="shared" si="17"/>
        <v>-382</v>
      </c>
    </row>
    <row r="334" spans="2:13">
      <c r="B334" s="12" t="s">
        <v>723</v>
      </c>
      <c r="C334" s="12" t="s">
        <v>1664</v>
      </c>
      <c r="D334" s="13">
        <v>44750</v>
      </c>
      <c r="E334" s="12" t="s">
        <v>1684</v>
      </c>
      <c r="F334" s="12" t="s">
        <v>1680</v>
      </c>
      <c r="G334" s="31">
        <v>130</v>
      </c>
      <c r="H334" s="12" t="s">
        <v>21</v>
      </c>
      <c r="I334" s="14">
        <v>2</v>
      </c>
      <c r="J334" s="15">
        <v>0.150738256013421</v>
      </c>
      <c r="K334" s="31">
        <f t="shared" si="15"/>
        <v>260</v>
      </c>
      <c r="L334" s="31">
        <f t="shared" si="16"/>
        <v>221</v>
      </c>
      <c r="M334" s="36">
        <f t="shared" si="17"/>
        <v>-39</v>
      </c>
    </row>
    <row r="335" spans="2:13">
      <c r="B335" s="16" t="s">
        <v>725</v>
      </c>
      <c r="C335" s="16" t="s">
        <v>1666</v>
      </c>
      <c r="D335" s="17">
        <v>44742</v>
      </c>
      <c r="E335" s="16" t="s">
        <v>1685</v>
      </c>
      <c r="F335" s="16" t="s">
        <v>1682</v>
      </c>
      <c r="G335" s="32">
        <v>60</v>
      </c>
      <c r="H335" s="16" t="s">
        <v>26</v>
      </c>
      <c r="I335" s="18">
        <v>10</v>
      </c>
      <c r="J335" s="19">
        <v>0.96395128247903095</v>
      </c>
      <c r="K335" s="32">
        <f t="shared" si="15"/>
        <v>600</v>
      </c>
      <c r="L335" s="32">
        <f t="shared" si="16"/>
        <v>22</v>
      </c>
      <c r="M335" s="37">
        <f t="shared" si="17"/>
        <v>-578</v>
      </c>
    </row>
    <row r="336" spans="2:13">
      <c r="B336" s="12" t="s">
        <v>727</v>
      </c>
      <c r="C336" s="12" t="s">
        <v>1668</v>
      </c>
      <c r="D336" s="13">
        <v>44754</v>
      </c>
      <c r="E336" s="12" t="s">
        <v>1679</v>
      </c>
      <c r="F336" s="12" t="s">
        <v>1680</v>
      </c>
      <c r="G336" s="31">
        <v>72</v>
      </c>
      <c r="H336" s="12" t="s">
        <v>32</v>
      </c>
      <c r="I336" s="14">
        <v>5</v>
      </c>
      <c r="J336" s="15">
        <v>0.93894083705684495</v>
      </c>
      <c r="K336" s="31">
        <f t="shared" si="15"/>
        <v>360</v>
      </c>
      <c r="L336" s="31">
        <f t="shared" si="16"/>
        <v>22</v>
      </c>
      <c r="M336" s="36">
        <f t="shared" si="17"/>
        <v>-338</v>
      </c>
    </row>
    <row r="337" spans="2:13">
      <c r="B337" s="16" t="s">
        <v>729</v>
      </c>
      <c r="C337" s="16" t="s">
        <v>1660</v>
      </c>
      <c r="D337" s="17">
        <v>44746</v>
      </c>
      <c r="E337" s="16" t="s">
        <v>1681</v>
      </c>
      <c r="F337" s="16" t="s">
        <v>1682</v>
      </c>
      <c r="G337" s="32">
        <v>65</v>
      </c>
      <c r="H337" s="16" t="s">
        <v>21</v>
      </c>
      <c r="I337" s="18">
        <v>7</v>
      </c>
      <c r="J337" s="19">
        <v>0.90335270578489502</v>
      </c>
      <c r="K337" s="32">
        <f t="shared" si="15"/>
        <v>455</v>
      </c>
      <c r="L337" s="32">
        <f t="shared" si="16"/>
        <v>44</v>
      </c>
      <c r="M337" s="37">
        <f t="shared" si="17"/>
        <v>-411</v>
      </c>
    </row>
    <row r="338" spans="2:13">
      <c r="B338" s="12" t="s">
        <v>731</v>
      </c>
      <c r="C338" s="12" t="s">
        <v>1662</v>
      </c>
      <c r="D338" s="13">
        <v>44752</v>
      </c>
      <c r="E338" s="12" t="s">
        <v>1683</v>
      </c>
      <c r="F338" s="12" t="s">
        <v>1680</v>
      </c>
      <c r="G338" s="31">
        <v>250</v>
      </c>
      <c r="H338" s="12" t="s">
        <v>26</v>
      </c>
      <c r="I338" s="14">
        <v>2</v>
      </c>
      <c r="J338" s="15">
        <v>0.62209777321995896</v>
      </c>
      <c r="K338" s="31">
        <f t="shared" si="15"/>
        <v>500</v>
      </c>
      <c r="L338" s="31">
        <f t="shared" si="16"/>
        <v>189</v>
      </c>
      <c r="M338" s="36">
        <f t="shared" si="17"/>
        <v>-311</v>
      </c>
    </row>
    <row r="339" spans="2:13">
      <c r="B339" s="16" t="s">
        <v>733</v>
      </c>
      <c r="C339" s="16" t="s">
        <v>1664</v>
      </c>
      <c r="D339" s="17">
        <v>44725</v>
      </c>
      <c r="E339" s="16" t="s">
        <v>1684</v>
      </c>
      <c r="F339" s="16" t="s">
        <v>1682</v>
      </c>
      <c r="G339" s="32">
        <v>130</v>
      </c>
      <c r="H339" s="16" t="s">
        <v>32</v>
      </c>
      <c r="I339" s="18">
        <v>5</v>
      </c>
      <c r="J339" s="19">
        <v>6.1676790443396502E-2</v>
      </c>
      <c r="K339" s="32">
        <f t="shared" si="15"/>
        <v>650</v>
      </c>
      <c r="L339" s="32">
        <f t="shared" si="16"/>
        <v>610</v>
      </c>
      <c r="M339" s="37">
        <f t="shared" si="17"/>
        <v>-40</v>
      </c>
    </row>
    <row r="340" spans="2:13">
      <c r="B340" s="12" t="s">
        <v>735</v>
      </c>
      <c r="C340" s="12" t="s">
        <v>1666</v>
      </c>
      <c r="D340" s="13">
        <v>44734</v>
      </c>
      <c r="E340" s="12" t="s">
        <v>1679</v>
      </c>
      <c r="F340" s="12" t="s">
        <v>1680</v>
      </c>
      <c r="G340" s="31">
        <v>72</v>
      </c>
      <c r="H340" s="12" t="s">
        <v>21</v>
      </c>
      <c r="I340" s="14">
        <v>12</v>
      </c>
      <c r="J340" s="15">
        <v>0.49213521317421099</v>
      </c>
      <c r="K340" s="31">
        <f t="shared" si="15"/>
        <v>864</v>
      </c>
      <c r="L340" s="31">
        <f t="shared" si="16"/>
        <v>439</v>
      </c>
      <c r="M340" s="36">
        <f t="shared" si="17"/>
        <v>-425</v>
      </c>
    </row>
    <row r="341" spans="2:13">
      <c r="B341" s="16" t="s">
        <v>737</v>
      </c>
      <c r="C341" s="16" t="s">
        <v>1660</v>
      </c>
      <c r="D341" s="17">
        <v>44761</v>
      </c>
      <c r="E341" s="16" t="s">
        <v>1681</v>
      </c>
      <c r="F341" s="16" t="s">
        <v>1682</v>
      </c>
      <c r="G341" s="32">
        <v>65</v>
      </c>
      <c r="H341" s="16" t="s">
        <v>26</v>
      </c>
      <c r="I341" s="18">
        <v>9</v>
      </c>
      <c r="J341" s="19">
        <v>0.69552711985994897</v>
      </c>
      <c r="K341" s="32">
        <f t="shared" si="15"/>
        <v>585</v>
      </c>
      <c r="L341" s="32">
        <f t="shared" si="16"/>
        <v>178</v>
      </c>
      <c r="M341" s="37">
        <f t="shared" si="17"/>
        <v>-407</v>
      </c>
    </row>
    <row r="342" spans="2:13">
      <c r="B342" s="12" t="s">
        <v>739</v>
      </c>
      <c r="C342" s="12" t="s">
        <v>1662</v>
      </c>
      <c r="D342" s="13">
        <v>44735</v>
      </c>
      <c r="E342" s="12" t="s">
        <v>1683</v>
      </c>
      <c r="F342" s="12" t="s">
        <v>1680</v>
      </c>
      <c r="G342" s="31">
        <v>250</v>
      </c>
      <c r="H342" s="12" t="s">
        <v>32</v>
      </c>
      <c r="I342" s="14">
        <v>4</v>
      </c>
      <c r="J342" s="15">
        <v>0.545289072783541</v>
      </c>
      <c r="K342" s="31">
        <f t="shared" si="15"/>
        <v>1000</v>
      </c>
      <c r="L342" s="31">
        <f t="shared" si="16"/>
        <v>455</v>
      </c>
      <c r="M342" s="36">
        <f t="shared" si="17"/>
        <v>-545</v>
      </c>
    </row>
    <row r="343" spans="2:13">
      <c r="B343" s="16" t="s">
        <v>741</v>
      </c>
      <c r="C343" s="16" t="s">
        <v>1664</v>
      </c>
      <c r="D343" s="17">
        <v>44753</v>
      </c>
      <c r="E343" s="16" t="s">
        <v>1684</v>
      </c>
      <c r="F343" s="16" t="s">
        <v>1682</v>
      </c>
      <c r="G343" s="32">
        <v>130</v>
      </c>
      <c r="H343" s="16" t="s">
        <v>21</v>
      </c>
      <c r="I343" s="18">
        <v>4</v>
      </c>
      <c r="J343" s="19">
        <v>0.35199536538224702</v>
      </c>
      <c r="K343" s="32">
        <f t="shared" si="15"/>
        <v>520</v>
      </c>
      <c r="L343" s="32">
        <f t="shared" si="16"/>
        <v>337</v>
      </c>
      <c r="M343" s="37">
        <f t="shared" si="17"/>
        <v>-183</v>
      </c>
    </row>
    <row r="344" spans="2:13">
      <c r="B344" s="12" t="s">
        <v>743</v>
      </c>
      <c r="C344" s="12" t="s">
        <v>1666</v>
      </c>
      <c r="D344" s="13">
        <v>44732</v>
      </c>
      <c r="E344" s="12" t="s">
        <v>1685</v>
      </c>
      <c r="F344" s="12" t="s">
        <v>1680</v>
      </c>
      <c r="G344" s="31">
        <v>60</v>
      </c>
      <c r="H344" s="12" t="s">
        <v>26</v>
      </c>
      <c r="I344" s="14">
        <v>6</v>
      </c>
      <c r="J344" s="15">
        <v>6.0292533629099102E-2</v>
      </c>
      <c r="K344" s="31">
        <f t="shared" si="15"/>
        <v>360</v>
      </c>
      <c r="L344" s="31">
        <f t="shared" si="16"/>
        <v>338</v>
      </c>
      <c r="M344" s="36">
        <f t="shared" si="17"/>
        <v>-22</v>
      </c>
    </row>
    <row r="345" spans="2:13">
      <c r="B345" s="16" t="s">
        <v>745</v>
      </c>
      <c r="C345" s="16" t="s">
        <v>1668</v>
      </c>
      <c r="D345" s="17">
        <v>44748</v>
      </c>
      <c r="E345" s="16" t="s">
        <v>1686</v>
      </c>
      <c r="F345" s="16" t="s">
        <v>1682</v>
      </c>
      <c r="G345" s="32">
        <v>95</v>
      </c>
      <c r="H345" s="16" t="s">
        <v>32</v>
      </c>
      <c r="I345" s="18">
        <v>7</v>
      </c>
      <c r="J345" s="19">
        <v>4.1434457281700601E-2</v>
      </c>
      <c r="K345" s="32">
        <f t="shared" si="15"/>
        <v>665</v>
      </c>
      <c r="L345" s="32">
        <f t="shared" si="16"/>
        <v>637</v>
      </c>
      <c r="M345" s="37">
        <f t="shared" si="17"/>
        <v>-28</v>
      </c>
    </row>
    <row r="346" spans="2:13">
      <c r="B346" s="12" t="s">
        <v>747</v>
      </c>
      <c r="C346" s="12" t="s">
        <v>1669</v>
      </c>
      <c r="D346" s="13">
        <v>44731</v>
      </c>
      <c r="E346" s="12" t="s">
        <v>1679</v>
      </c>
      <c r="F346" s="12" t="s">
        <v>1680</v>
      </c>
      <c r="G346" s="31">
        <v>72</v>
      </c>
      <c r="H346" s="12" t="s">
        <v>21</v>
      </c>
      <c r="I346" s="14">
        <v>3</v>
      </c>
      <c r="J346" s="15">
        <v>0.29516274884520199</v>
      </c>
      <c r="K346" s="31">
        <f t="shared" si="15"/>
        <v>216</v>
      </c>
      <c r="L346" s="31">
        <f t="shared" si="16"/>
        <v>152</v>
      </c>
      <c r="M346" s="36">
        <f t="shared" si="17"/>
        <v>-64</v>
      </c>
    </row>
    <row r="347" spans="2:13">
      <c r="B347" s="16" t="s">
        <v>749</v>
      </c>
      <c r="C347" s="16" t="s">
        <v>1660</v>
      </c>
      <c r="D347" s="17">
        <v>44725</v>
      </c>
      <c r="E347" s="16" t="s">
        <v>1681</v>
      </c>
      <c r="F347" s="16" t="s">
        <v>1682</v>
      </c>
      <c r="G347" s="32">
        <v>65</v>
      </c>
      <c r="H347" s="16" t="s">
        <v>26</v>
      </c>
      <c r="I347" s="18">
        <v>4</v>
      </c>
      <c r="J347" s="19">
        <v>0.68154294540119298</v>
      </c>
      <c r="K347" s="32">
        <f t="shared" si="15"/>
        <v>260</v>
      </c>
      <c r="L347" s="32">
        <f t="shared" si="16"/>
        <v>83</v>
      </c>
      <c r="M347" s="37">
        <f t="shared" si="17"/>
        <v>-177</v>
      </c>
    </row>
    <row r="348" spans="2:13">
      <c r="B348" s="12" t="s">
        <v>751</v>
      </c>
      <c r="C348" s="12" t="s">
        <v>1662</v>
      </c>
      <c r="D348" s="13">
        <v>44753</v>
      </c>
      <c r="E348" s="12" t="s">
        <v>1683</v>
      </c>
      <c r="F348" s="12" t="s">
        <v>1680</v>
      </c>
      <c r="G348" s="31">
        <v>250</v>
      </c>
      <c r="H348" s="12" t="s">
        <v>32</v>
      </c>
      <c r="I348" s="14">
        <v>1</v>
      </c>
      <c r="J348" s="15">
        <v>0.52632346520297402</v>
      </c>
      <c r="K348" s="31">
        <f t="shared" si="15"/>
        <v>250</v>
      </c>
      <c r="L348" s="31">
        <f t="shared" si="16"/>
        <v>118</v>
      </c>
      <c r="M348" s="36">
        <f t="shared" si="17"/>
        <v>-132</v>
      </c>
    </row>
    <row r="349" spans="2:13">
      <c r="B349" s="16" t="s">
        <v>753</v>
      </c>
      <c r="C349" s="16" t="s">
        <v>1664</v>
      </c>
      <c r="D349" s="17">
        <v>44738</v>
      </c>
      <c r="E349" s="16" t="s">
        <v>1684</v>
      </c>
      <c r="F349" s="16" t="s">
        <v>1682</v>
      </c>
      <c r="G349" s="32">
        <v>130</v>
      </c>
      <c r="H349" s="16" t="s">
        <v>21</v>
      </c>
      <c r="I349" s="18">
        <v>6</v>
      </c>
      <c r="J349" s="19">
        <v>5.4437687903536897E-2</v>
      </c>
      <c r="K349" s="32">
        <f t="shared" si="15"/>
        <v>780</v>
      </c>
      <c r="L349" s="32">
        <f t="shared" si="16"/>
        <v>738</v>
      </c>
      <c r="M349" s="37">
        <f t="shared" si="17"/>
        <v>-42</v>
      </c>
    </row>
    <row r="350" spans="2:13">
      <c r="B350" s="12" t="s">
        <v>755</v>
      </c>
      <c r="C350" s="12" t="s">
        <v>1666</v>
      </c>
      <c r="D350" s="13">
        <v>44762</v>
      </c>
      <c r="E350" s="12" t="s">
        <v>1679</v>
      </c>
      <c r="F350" s="12" t="s">
        <v>1682</v>
      </c>
      <c r="G350" s="31">
        <v>72</v>
      </c>
      <c r="H350" s="12" t="s">
        <v>26</v>
      </c>
      <c r="I350" s="14">
        <v>10</v>
      </c>
      <c r="J350" s="15">
        <v>0.95350738842174898</v>
      </c>
      <c r="K350" s="31">
        <f t="shared" si="15"/>
        <v>720</v>
      </c>
      <c r="L350" s="31">
        <f t="shared" si="16"/>
        <v>33</v>
      </c>
      <c r="M350" s="36">
        <f t="shared" si="17"/>
        <v>-687</v>
      </c>
    </row>
    <row r="351" spans="2:13">
      <c r="B351" s="16" t="s">
        <v>757</v>
      </c>
      <c r="C351" s="16" t="s">
        <v>1660</v>
      </c>
      <c r="D351" s="17">
        <v>44756</v>
      </c>
      <c r="E351" s="16" t="s">
        <v>1681</v>
      </c>
      <c r="F351" s="16" t="s">
        <v>1682</v>
      </c>
      <c r="G351" s="32">
        <v>65</v>
      </c>
      <c r="H351" s="16" t="s">
        <v>32</v>
      </c>
      <c r="I351" s="18">
        <v>4</v>
      </c>
      <c r="J351" s="19">
        <v>0.46726651348176201</v>
      </c>
      <c r="K351" s="32">
        <f t="shared" si="15"/>
        <v>260</v>
      </c>
      <c r="L351" s="32">
        <f t="shared" si="16"/>
        <v>139</v>
      </c>
      <c r="M351" s="37">
        <f t="shared" si="17"/>
        <v>-121</v>
      </c>
    </row>
    <row r="352" spans="2:13">
      <c r="B352" s="12" t="s">
        <v>759</v>
      </c>
      <c r="C352" s="12" t="s">
        <v>1662</v>
      </c>
      <c r="D352" s="13">
        <v>44744</v>
      </c>
      <c r="E352" s="12" t="s">
        <v>1683</v>
      </c>
      <c r="F352" s="12" t="s">
        <v>1682</v>
      </c>
      <c r="G352" s="31">
        <v>250</v>
      </c>
      <c r="H352" s="12" t="s">
        <v>21</v>
      </c>
      <c r="I352" s="14">
        <v>2</v>
      </c>
      <c r="J352" s="15">
        <v>0.60150898156119903</v>
      </c>
      <c r="K352" s="31">
        <f t="shared" si="15"/>
        <v>500</v>
      </c>
      <c r="L352" s="31">
        <f t="shared" si="16"/>
        <v>199</v>
      </c>
      <c r="M352" s="36">
        <f t="shared" si="17"/>
        <v>-301</v>
      </c>
    </row>
    <row r="353" spans="2:13">
      <c r="B353" s="16" t="s">
        <v>761</v>
      </c>
      <c r="C353" s="16" t="s">
        <v>1664</v>
      </c>
      <c r="D353" s="17">
        <v>44753</v>
      </c>
      <c r="E353" s="16" t="s">
        <v>1684</v>
      </c>
      <c r="F353" s="16" t="s">
        <v>1682</v>
      </c>
      <c r="G353" s="32">
        <v>130</v>
      </c>
      <c r="H353" s="16" t="s">
        <v>26</v>
      </c>
      <c r="I353" s="18">
        <v>7</v>
      </c>
      <c r="J353" s="19">
        <v>0.17158764742187799</v>
      </c>
      <c r="K353" s="32">
        <f t="shared" si="15"/>
        <v>910</v>
      </c>
      <c r="L353" s="32">
        <f t="shared" si="16"/>
        <v>754</v>
      </c>
      <c r="M353" s="37">
        <f t="shared" si="17"/>
        <v>-156</v>
      </c>
    </row>
    <row r="354" spans="2:13">
      <c r="B354" s="12" t="s">
        <v>763</v>
      </c>
      <c r="C354" s="12" t="s">
        <v>1666</v>
      </c>
      <c r="D354" s="13">
        <v>44762</v>
      </c>
      <c r="E354" s="12" t="s">
        <v>1685</v>
      </c>
      <c r="F354" s="12" t="s">
        <v>1680</v>
      </c>
      <c r="G354" s="31">
        <v>60</v>
      </c>
      <c r="H354" s="12" t="s">
        <v>32</v>
      </c>
      <c r="I354" s="14">
        <v>11</v>
      </c>
      <c r="J354" s="15">
        <v>0.44731050880102902</v>
      </c>
      <c r="K354" s="31">
        <f t="shared" si="15"/>
        <v>660</v>
      </c>
      <c r="L354" s="31">
        <f t="shared" si="16"/>
        <v>365</v>
      </c>
      <c r="M354" s="36">
        <f t="shared" si="17"/>
        <v>-295</v>
      </c>
    </row>
    <row r="355" spans="2:13">
      <c r="B355" s="16" t="s">
        <v>765</v>
      </c>
      <c r="C355" s="16" t="s">
        <v>1668</v>
      </c>
      <c r="D355" s="17">
        <v>44740</v>
      </c>
      <c r="E355" s="16" t="s">
        <v>1679</v>
      </c>
      <c r="F355" s="16" t="s">
        <v>1682</v>
      </c>
      <c r="G355" s="32">
        <v>72</v>
      </c>
      <c r="H355" s="16" t="s">
        <v>21</v>
      </c>
      <c r="I355" s="18">
        <v>8</v>
      </c>
      <c r="J355" s="19">
        <v>0.54246953050958202</v>
      </c>
      <c r="K355" s="32">
        <f t="shared" si="15"/>
        <v>576</v>
      </c>
      <c r="L355" s="32">
        <f t="shared" si="16"/>
        <v>264</v>
      </c>
      <c r="M355" s="37">
        <f t="shared" si="17"/>
        <v>-312</v>
      </c>
    </row>
    <row r="356" spans="2:13">
      <c r="B356" s="12" t="s">
        <v>767</v>
      </c>
      <c r="C356" s="12" t="s">
        <v>1660</v>
      </c>
      <c r="D356" s="13">
        <v>44729</v>
      </c>
      <c r="E356" s="12" t="s">
        <v>1681</v>
      </c>
      <c r="F356" s="12" t="s">
        <v>1680</v>
      </c>
      <c r="G356" s="31">
        <v>65</v>
      </c>
      <c r="H356" s="12" t="s">
        <v>26</v>
      </c>
      <c r="I356" s="14">
        <v>11</v>
      </c>
      <c r="J356" s="15">
        <v>0.50484804947298401</v>
      </c>
      <c r="K356" s="31">
        <f t="shared" si="15"/>
        <v>715</v>
      </c>
      <c r="L356" s="31">
        <f t="shared" si="16"/>
        <v>354</v>
      </c>
      <c r="M356" s="36">
        <f t="shared" si="17"/>
        <v>-361</v>
      </c>
    </row>
    <row r="357" spans="2:13">
      <c r="B357" s="16" t="s">
        <v>769</v>
      </c>
      <c r="C357" s="16" t="s">
        <v>1662</v>
      </c>
      <c r="D357" s="17">
        <v>44727</v>
      </c>
      <c r="E357" s="16" t="s">
        <v>1683</v>
      </c>
      <c r="F357" s="16" t="s">
        <v>1682</v>
      </c>
      <c r="G357" s="32">
        <v>250</v>
      </c>
      <c r="H357" s="16" t="s">
        <v>32</v>
      </c>
      <c r="I357" s="18">
        <v>4</v>
      </c>
      <c r="J357" s="19">
        <v>9.2316747421295503E-2</v>
      </c>
      <c r="K357" s="32">
        <f t="shared" si="15"/>
        <v>1000</v>
      </c>
      <c r="L357" s="32">
        <f t="shared" si="16"/>
        <v>908</v>
      </c>
      <c r="M357" s="37">
        <f t="shared" si="17"/>
        <v>-92</v>
      </c>
    </row>
    <row r="358" spans="2:13">
      <c r="B358" s="12" t="s">
        <v>771</v>
      </c>
      <c r="C358" s="12" t="s">
        <v>1664</v>
      </c>
      <c r="D358" s="13">
        <v>44734</v>
      </c>
      <c r="E358" s="12" t="s">
        <v>1684</v>
      </c>
      <c r="F358" s="12" t="s">
        <v>1680</v>
      </c>
      <c r="G358" s="31">
        <v>130</v>
      </c>
      <c r="H358" s="12" t="s">
        <v>21</v>
      </c>
      <c r="I358" s="14">
        <v>7</v>
      </c>
      <c r="J358" s="15">
        <v>0.34907542272706199</v>
      </c>
      <c r="K358" s="31">
        <f t="shared" si="15"/>
        <v>910</v>
      </c>
      <c r="L358" s="31">
        <f t="shared" si="16"/>
        <v>592</v>
      </c>
      <c r="M358" s="36">
        <f t="shared" si="17"/>
        <v>-318</v>
      </c>
    </row>
    <row r="359" spans="2:13">
      <c r="B359" s="16" t="s">
        <v>773</v>
      </c>
      <c r="C359" s="16" t="s">
        <v>1666</v>
      </c>
      <c r="D359" s="17">
        <v>44744</v>
      </c>
      <c r="E359" s="16" t="s">
        <v>1679</v>
      </c>
      <c r="F359" s="16" t="s">
        <v>1682</v>
      </c>
      <c r="G359" s="32">
        <v>72</v>
      </c>
      <c r="H359" s="16" t="s">
        <v>26</v>
      </c>
      <c r="I359" s="18">
        <v>4</v>
      </c>
      <c r="J359" s="19">
        <v>0.90031823580716597</v>
      </c>
      <c r="K359" s="32">
        <f t="shared" si="15"/>
        <v>288</v>
      </c>
      <c r="L359" s="32">
        <f t="shared" si="16"/>
        <v>29</v>
      </c>
      <c r="M359" s="37">
        <f t="shared" si="17"/>
        <v>-259</v>
      </c>
    </row>
    <row r="360" spans="2:13">
      <c r="B360" s="12" t="s">
        <v>775</v>
      </c>
      <c r="C360" s="12" t="s">
        <v>1660</v>
      </c>
      <c r="D360" s="13">
        <v>44737</v>
      </c>
      <c r="E360" s="12" t="s">
        <v>1681</v>
      </c>
      <c r="F360" s="12" t="s">
        <v>1680</v>
      </c>
      <c r="G360" s="31">
        <v>65</v>
      </c>
      <c r="H360" s="12" t="s">
        <v>32</v>
      </c>
      <c r="I360" s="14">
        <v>5</v>
      </c>
      <c r="J360" s="15">
        <v>0.180506927954627</v>
      </c>
      <c r="K360" s="31">
        <f t="shared" si="15"/>
        <v>325</v>
      </c>
      <c r="L360" s="31">
        <f t="shared" si="16"/>
        <v>266</v>
      </c>
      <c r="M360" s="36">
        <f t="shared" si="17"/>
        <v>-59</v>
      </c>
    </row>
    <row r="361" spans="2:13">
      <c r="B361" s="16" t="s">
        <v>777</v>
      </c>
      <c r="C361" s="16" t="s">
        <v>1662</v>
      </c>
      <c r="D361" s="17">
        <v>44752</v>
      </c>
      <c r="E361" s="16" t="s">
        <v>1683</v>
      </c>
      <c r="F361" s="16" t="s">
        <v>1682</v>
      </c>
      <c r="G361" s="32">
        <v>250</v>
      </c>
      <c r="H361" s="16" t="s">
        <v>21</v>
      </c>
      <c r="I361" s="18">
        <v>1</v>
      </c>
      <c r="J361" s="19">
        <v>2.5445092820001299E-2</v>
      </c>
      <c r="K361" s="32">
        <f t="shared" si="15"/>
        <v>250</v>
      </c>
      <c r="L361" s="32">
        <f t="shared" si="16"/>
        <v>244</v>
      </c>
      <c r="M361" s="37">
        <f t="shared" si="17"/>
        <v>-6</v>
      </c>
    </row>
    <row r="362" spans="2:13">
      <c r="B362" s="12" t="s">
        <v>779</v>
      </c>
      <c r="C362" s="12" t="s">
        <v>1664</v>
      </c>
      <c r="D362" s="13">
        <v>44736</v>
      </c>
      <c r="E362" s="12" t="s">
        <v>1684</v>
      </c>
      <c r="F362" s="12" t="s">
        <v>1680</v>
      </c>
      <c r="G362" s="31">
        <v>130</v>
      </c>
      <c r="H362" s="12" t="s">
        <v>26</v>
      </c>
      <c r="I362" s="14">
        <v>2</v>
      </c>
      <c r="J362" s="15">
        <v>0.79643741142705504</v>
      </c>
      <c r="K362" s="31">
        <f t="shared" si="15"/>
        <v>260</v>
      </c>
      <c r="L362" s="31">
        <f t="shared" si="16"/>
        <v>53</v>
      </c>
      <c r="M362" s="36">
        <f t="shared" si="17"/>
        <v>-207</v>
      </c>
    </row>
    <row r="363" spans="2:13">
      <c r="B363" s="16" t="s">
        <v>781</v>
      </c>
      <c r="C363" s="16" t="s">
        <v>1666</v>
      </c>
      <c r="D363" s="17">
        <v>44752</v>
      </c>
      <c r="E363" s="16" t="s">
        <v>1685</v>
      </c>
      <c r="F363" s="16" t="s">
        <v>1682</v>
      </c>
      <c r="G363" s="32">
        <v>60</v>
      </c>
      <c r="H363" s="16" t="s">
        <v>32</v>
      </c>
      <c r="I363" s="18">
        <v>14</v>
      </c>
      <c r="J363" s="19">
        <v>0.16077213359827799</v>
      </c>
      <c r="K363" s="32">
        <f t="shared" si="15"/>
        <v>840</v>
      </c>
      <c r="L363" s="32">
        <f t="shared" si="16"/>
        <v>705</v>
      </c>
      <c r="M363" s="37">
        <f t="shared" si="17"/>
        <v>-135</v>
      </c>
    </row>
    <row r="364" spans="2:13">
      <c r="B364" s="12" t="s">
        <v>783</v>
      </c>
      <c r="C364" s="12" t="s">
        <v>1668</v>
      </c>
      <c r="D364" s="13">
        <v>44759</v>
      </c>
      <c r="E364" s="12" t="s">
        <v>1686</v>
      </c>
      <c r="F364" s="12" t="s">
        <v>1680</v>
      </c>
      <c r="G364" s="31">
        <v>95</v>
      </c>
      <c r="H364" s="12" t="s">
        <v>21</v>
      </c>
      <c r="I364" s="14">
        <v>9</v>
      </c>
      <c r="J364" s="15">
        <v>0.24693836978869799</v>
      </c>
      <c r="K364" s="31">
        <f t="shared" si="15"/>
        <v>855</v>
      </c>
      <c r="L364" s="31">
        <f t="shared" si="16"/>
        <v>644</v>
      </c>
      <c r="M364" s="36">
        <f t="shared" si="17"/>
        <v>-211</v>
      </c>
    </row>
    <row r="365" spans="2:13">
      <c r="B365" s="16" t="s">
        <v>785</v>
      </c>
      <c r="C365" s="16" t="s">
        <v>1669</v>
      </c>
      <c r="D365" s="17">
        <v>44763</v>
      </c>
      <c r="E365" s="16" t="s">
        <v>1679</v>
      </c>
      <c r="F365" s="16" t="s">
        <v>1682</v>
      </c>
      <c r="G365" s="32">
        <v>72</v>
      </c>
      <c r="H365" s="16" t="s">
        <v>26</v>
      </c>
      <c r="I365" s="18">
        <v>8</v>
      </c>
      <c r="J365" s="19">
        <v>0.22148207946738799</v>
      </c>
      <c r="K365" s="32">
        <f t="shared" si="15"/>
        <v>576</v>
      </c>
      <c r="L365" s="32">
        <f t="shared" si="16"/>
        <v>448</v>
      </c>
      <c r="M365" s="37">
        <f t="shared" si="17"/>
        <v>-128</v>
      </c>
    </row>
    <row r="366" spans="2:13">
      <c r="B366" s="12" t="s">
        <v>787</v>
      </c>
      <c r="C366" s="12" t="s">
        <v>1660</v>
      </c>
      <c r="D366" s="13">
        <v>44763</v>
      </c>
      <c r="E366" s="12" t="s">
        <v>1681</v>
      </c>
      <c r="F366" s="12" t="s">
        <v>1680</v>
      </c>
      <c r="G366" s="31">
        <v>65</v>
      </c>
      <c r="H366" s="12" t="s">
        <v>32</v>
      </c>
      <c r="I366" s="14">
        <v>11</v>
      </c>
      <c r="J366" s="15">
        <v>0.71458846230959505</v>
      </c>
      <c r="K366" s="31">
        <f t="shared" si="15"/>
        <v>715</v>
      </c>
      <c r="L366" s="31">
        <f t="shared" si="16"/>
        <v>204</v>
      </c>
      <c r="M366" s="36">
        <f t="shared" si="17"/>
        <v>-511</v>
      </c>
    </row>
    <row r="367" spans="2:13">
      <c r="B367" s="16" t="s">
        <v>789</v>
      </c>
      <c r="C367" s="16" t="s">
        <v>1662</v>
      </c>
      <c r="D367" s="17">
        <v>44750</v>
      </c>
      <c r="E367" s="16" t="s">
        <v>1683</v>
      </c>
      <c r="F367" s="16" t="s">
        <v>1682</v>
      </c>
      <c r="G367" s="32">
        <v>250</v>
      </c>
      <c r="H367" s="16" t="s">
        <v>21</v>
      </c>
      <c r="I367" s="18">
        <v>4</v>
      </c>
      <c r="J367" s="19">
        <v>0.11286694488931499</v>
      </c>
      <c r="K367" s="32">
        <f t="shared" si="15"/>
        <v>1000</v>
      </c>
      <c r="L367" s="32">
        <f t="shared" si="16"/>
        <v>887</v>
      </c>
      <c r="M367" s="37">
        <f t="shared" si="17"/>
        <v>-113</v>
      </c>
    </row>
    <row r="368" spans="2:13">
      <c r="B368" s="12" t="s">
        <v>791</v>
      </c>
      <c r="C368" s="12" t="s">
        <v>1664</v>
      </c>
      <c r="D368" s="13">
        <v>44751</v>
      </c>
      <c r="E368" s="12" t="s">
        <v>1684</v>
      </c>
      <c r="F368" s="12" t="s">
        <v>1680</v>
      </c>
      <c r="G368" s="31">
        <v>130</v>
      </c>
      <c r="H368" s="12" t="s">
        <v>26</v>
      </c>
      <c r="I368" s="14">
        <v>6</v>
      </c>
      <c r="J368" s="15">
        <v>6.5283590828819807E-2</v>
      </c>
      <c r="K368" s="31">
        <f t="shared" si="15"/>
        <v>780</v>
      </c>
      <c r="L368" s="31">
        <f t="shared" si="16"/>
        <v>729</v>
      </c>
      <c r="M368" s="36">
        <f t="shared" si="17"/>
        <v>-51</v>
      </c>
    </row>
    <row r="369" spans="2:13">
      <c r="B369" s="16" t="s">
        <v>793</v>
      </c>
      <c r="C369" s="16" t="s">
        <v>1666</v>
      </c>
      <c r="D369" s="17">
        <v>44736</v>
      </c>
      <c r="E369" s="16" t="s">
        <v>1679</v>
      </c>
      <c r="F369" s="16" t="s">
        <v>1682</v>
      </c>
      <c r="G369" s="32">
        <v>72</v>
      </c>
      <c r="H369" s="16" t="s">
        <v>32</v>
      </c>
      <c r="I369" s="18">
        <v>11</v>
      </c>
      <c r="J369" s="19">
        <v>0.46681751998353099</v>
      </c>
      <c r="K369" s="32">
        <f t="shared" si="15"/>
        <v>792</v>
      </c>
      <c r="L369" s="32">
        <f t="shared" si="16"/>
        <v>422</v>
      </c>
      <c r="M369" s="37">
        <f t="shared" si="17"/>
        <v>-370</v>
      </c>
    </row>
    <row r="370" spans="2:13">
      <c r="B370" s="12" t="s">
        <v>795</v>
      </c>
      <c r="C370" s="12" t="s">
        <v>1660</v>
      </c>
      <c r="D370" s="13">
        <v>44737</v>
      </c>
      <c r="E370" s="12" t="s">
        <v>1681</v>
      </c>
      <c r="F370" s="12" t="s">
        <v>1680</v>
      </c>
      <c r="G370" s="31">
        <v>65</v>
      </c>
      <c r="H370" s="12" t="s">
        <v>21</v>
      </c>
      <c r="I370" s="14">
        <v>9</v>
      </c>
      <c r="J370" s="15">
        <v>0.92202770154223701</v>
      </c>
      <c r="K370" s="31">
        <f t="shared" si="15"/>
        <v>585</v>
      </c>
      <c r="L370" s="31">
        <f t="shared" si="16"/>
        <v>46</v>
      </c>
      <c r="M370" s="36">
        <f t="shared" si="17"/>
        <v>-539</v>
      </c>
    </row>
    <row r="371" spans="2:13">
      <c r="B371" s="16" t="s">
        <v>797</v>
      </c>
      <c r="C371" s="16" t="s">
        <v>1662</v>
      </c>
      <c r="D371" s="17">
        <v>44744</v>
      </c>
      <c r="E371" s="16" t="s">
        <v>1683</v>
      </c>
      <c r="F371" s="16" t="s">
        <v>1682</v>
      </c>
      <c r="G371" s="32">
        <v>250</v>
      </c>
      <c r="H371" s="16" t="s">
        <v>26</v>
      </c>
      <c r="I371" s="18">
        <v>2</v>
      </c>
      <c r="J371" s="19">
        <v>0.18840485753727201</v>
      </c>
      <c r="K371" s="32">
        <f t="shared" si="15"/>
        <v>500</v>
      </c>
      <c r="L371" s="32">
        <f t="shared" si="16"/>
        <v>406</v>
      </c>
      <c r="M371" s="37">
        <f t="shared" si="17"/>
        <v>-94</v>
      </c>
    </row>
    <row r="372" spans="2:13">
      <c r="B372" s="12" t="s">
        <v>799</v>
      </c>
      <c r="C372" s="12" t="s">
        <v>1664</v>
      </c>
      <c r="D372" s="13">
        <v>44735</v>
      </c>
      <c r="E372" s="12" t="s">
        <v>1684</v>
      </c>
      <c r="F372" s="12" t="s">
        <v>1682</v>
      </c>
      <c r="G372" s="31">
        <v>130</v>
      </c>
      <c r="H372" s="12" t="s">
        <v>32</v>
      </c>
      <c r="I372" s="14">
        <v>2</v>
      </c>
      <c r="J372" s="15">
        <v>0.278470721372092</v>
      </c>
      <c r="K372" s="31">
        <f t="shared" si="15"/>
        <v>260</v>
      </c>
      <c r="L372" s="31">
        <f t="shared" si="16"/>
        <v>188</v>
      </c>
      <c r="M372" s="36">
        <f t="shared" si="17"/>
        <v>-72</v>
      </c>
    </row>
    <row r="373" spans="2:13">
      <c r="B373" s="16" t="s">
        <v>801</v>
      </c>
      <c r="C373" s="16" t="s">
        <v>1660</v>
      </c>
      <c r="D373" s="17">
        <v>44751</v>
      </c>
      <c r="E373" s="16" t="s">
        <v>1679</v>
      </c>
      <c r="F373" s="16" t="s">
        <v>1682</v>
      </c>
      <c r="G373" s="32">
        <v>72</v>
      </c>
      <c r="H373" s="16" t="s">
        <v>21</v>
      </c>
      <c r="I373" s="18">
        <v>10</v>
      </c>
      <c r="J373" s="19">
        <v>0.78884251376405201</v>
      </c>
      <c r="K373" s="32">
        <f t="shared" si="15"/>
        <v>720</v>
      </c>
      <c r="L373" s="32">
        <f t="shared" si="16"/>
        <v>152</v>
      </c>
      <c r="M373" s="37">
        <f t="shared" si="17"/>
        <v>-568</v>
      </c>
    </row>
    <row r="374" spans="2:13">
      <c r="B374" s="12" t="s">
        <v>803</v>
      </c>
      <c r="C374" s="12" t="s">
        <v>1662</v>
      </c>
      <c r="D374" s="13">
        <v>44726</v>
      </c>
      <c r="E374" s="12" t="s">
        <v>1681</v>
      </c>
      <c r="F374" s="12" t="s">
        <v>1682</v>
      </c>
      <c r="G374" s="31">
        <v>65</v>
      </c>
      <c r="H374" s="12" t="s">
        <v>21</v>
      </c>
      <c r="I374" s="14">
        <v>5</v>
      </c>
      <c r="J374" s="15">
        <v>0.182991685488964</v>
      </c>
      <c r="K374" s="31">
        <f t="shared" si="15"/>
        <v>325</v>
      </c>
      <c r="L374" s="31">
        <f t="shared" si="16"/>
        <v>266</v>
      </c>
      <c r="M374" s="36">
        <f t="shared" si="17"/>
        <v>-59</v>
      </c>
    </row>
    <row r="375" spans="2:13">
      <c r="B375" s="16" t="s">
        <v>805</v>
      </c>
      <c r="C375" s="16" t="s">
        <v>1664</v>
      </c>
      <c r="D375" s="17">
        <v>44749</v>
      </c>
      <c r="E375" s="16" t="s">
        <v>1683</v>
      </c>
      <c r="F375" s="16" t="s">
        <v>1682</v>
      </c>
      <c r="G375" s="32">
        <v>250</v>
      </c>
      <c r="H375" s="16" t="s">
        <v>26</v>
      </c>
      <c r="I375" s="18">
        <v>3</v>
      </c>
      <c r="J375" s="19">
        <v>0.20591715888097001</v>
      </c>
      <c r="K375" s="32">
        <f t="shared" si="15"/>
        <v>750</v>
      </c>
      <c r="L375" s="32">
        <f t="shared" si="16"/>
        <v>596</v>
      </c>
      <c r="M375" s="37">
        <f t="shared" si="17"/>
        <v>-154</v>
      </c>
    </row>
    <row r="376" spans="2:13">
      <c r="B376" s="12" t="s">
        <v>807</v>
      </c>
      <c r="C376" s="12" t="s">
        <v>1666</v>
      </c>
      <c r="D376" s="13">
        <v>44734</v>
      </c>
      <c r="E376" s="12" t="s">
        <v>1684</v>
      </c>
      <c r="F376" s="12" t="s">
        <v>1680</v>
      </c>
      <c r="G376" s="31">
        <v>130</v>
      </c>
      <c r="H376" s="12" t="s">
        <v>32</v>
      </c>
      <c r="I376" s="14">
        <v>2</v>
      </c>
      <c r="J376" s="15">
        <v>2.1283398368879401E-2</v>
      </c>
      <c r="K376" s="31">
        <f t="shared" si="15"/>
        <v>260</v>
      </c>
      <c r="L376" s="31">
        <f t="shared" si="16"/>
        <v>254</v>
      </c>
      <c r="M376" s="36">
        <f t="shared" si="17"/>
        <v>-6</v>
      </c>
    </row>
    <row r="377" spans="2:13">
      <c r="B377" s="16" t="s">
        <v>809</v>
      </c>
      <c r="C377" s="16" t="s">
        <v>1660</v>
      </c>
      <c r="D377" s="17">
        <v>44726</v>
      </c>
      <c r="E377" s="16" t="s">
        <v>1679</v>
      </c>
      <c r="F377" s="16" t="s">
        <v>1682</v>
      </c>
      <c r="G377" s="32">
        <v>72</v>
      </c>
      <c r="H377" s="16" t="s">
        <v>21</v>
      </c>
      <c r="I377" s="18">
        <v>4</v>
      </c>
      <c r="J377" s="19">
        <v>2.2806889019524702E-2</v>
      </c>
      <c r="K377" s="32">
        <f t="shared" si="15"/>
        <v>288</v>
      </c>
      <c r="L377" s="32">
        <f t="shared" si="16"/>
        <v>281</v>
      </c>
      <c r="M377" s="37">
        <f t="shared" si="17"/>
        <v>-7</v>
      </c>
    </row>
    <row r="378" spans="2:13">
      <c r="B378" s="12" t="s">
        <v>811</v>
      </c>
      <c r="C378" s="12" t="s">
        <v>1662</v>
      </c>
      <c r="D378" s="13">
        <v>44743</v>
      </c>
      <c r="E378" s="12" t="s">
        <v>1681</v>
      </c>
      <c r="F378" s="12" t="s">
        <v>1680</v>
      </c>
      <c r="G378" s="31">
        <v>65</v>
      </c>
      <c r="H378" s="12" t="s">
        <v>26</v>
      </c>
      <c r="I378" s="14">
        <v>6</v>
      </c>
      <c r="J378" s="15">
        <v>0.66448214030499098</v>
      </c>
      <c r="K378" s="31">
        <f t="shared" si="15"/>
        <v>390</v>
      </c>
      <c r="L378" s="31">
        <f t="shared" si="16"/>
        <v>131</v>
      </c>
      <c r="M378" s="36">
        <f t="shared" si="17"/>
        <v>-259</v>
      </c>
    </row>
    <row r="379" spans="2:13">
      <c r="B379" s="16" t="s">
        <v>813</v>
      </c>
      <c r="C379" s="16" t="s">
        <v>1664</v>
      </c>
      <c r="D379" s="17">
        <v>44742</v>
      </c>
      <c r="E379" s="16" t="s">
        <v>1683</v>
      </c>
      <c r="F379" s="16" t="s">
        <v>1682</v>
      </c>
      <c r="G379" s="32">
        <v>250</v>
      </c>
      <c r="H379" s="16" t="s">
        <v>32</v>
      </c>
      <c r="I379" s="18">
        <v>3</v>
      </c>
      <c r="J379" s="19">
        <v>0.29151955249280498</v>
      </c>
      <c r="K379" s="32">
        <f t="shared" si="15"/>
        <v>750</v>
      </c>
      <c r="L379" s="32">
        <f t="shared" si="16"/>
        <v>531</v>
      </c>
      <c r="M379" s="37">
        <f t="shared" si="17"/>
        <v>-219</v>
      </c>
    </row>
    <row r="380" spans="2:13">
      <c r="B380" s="12" t="s">
        <v>815</v>
      </c>
      <c r="C380" s="12" t="s">
        <v>1666</v>
      </c>
      <c r="D380" s="13">
        <v>44747</v>
      </c>
      <c r="E380" s="12" t="s">
        <v>1684</v>
      </c>
      <c r="F380" s="12" t="s">
        <v>1680</v>
      </c>
      <c r="G380" s="31">
        <v>130</v>
      </c>
      <c r="H380" s="12" t="s">
        <v>21</v>
      </c>
      <c r="I380" s="14">
        <v>5</v>
      </c>
      <c r="J380" s="15">
        <v>0.556840981103363</v>
      </c>
      <c r="K380" s="31">
        <f t="shared" si="15"/>
        <v>650</v>
      </c>
      <c r="L380" s="31">
        <f t="shared" si="16"/>
        <v>288</v>
      </c>
      <c r="M380" s="36">
        <f t="shared" si="17"/>
        <v>-362</v>
      </c>
    </row>
    <row r="381" spans="2:13">
      <c r="B381" s="16" t="s">
        <v>817</v>
      </c>
      <c r="C381" s="16" t="s">
        <v>1668</v>
      </c>
      <c r="D381" s="17">
        <v>44764</v>
      </c>
      <c r="E381" s="16" t="s">
        <v>1685</v>
      </c>
      <c r="F381" s="16" t="s">
        <v>1682</v>
      </c>
      <c r="G381" s="32">
        <v>60</v>
      </c>
      <c r="H381" s="16" t="s">
        <v>26</v>
      </c>
      <c r="I381" s="18">
        <v>14</v>
      </c>
      <c r="J381" s="19">
        <v>0.57240542144015605</v>
      </c>
      <c r="K381" s="32">
        <f t="shared" si="15"/>
        <v>840</v>
      </c>
      <c r="L381" s="32">
        <f t="shared" si="16"/>
        <v>359</v>
      </c>
      <c r="M381" s="37">
        <f t="shared" si="17"/>
        <v>-481</v>
      </c>
    </row>
    <row r="382" spans="2:13">
      <c r="B382" s="12" t="s">
        <v>819</v>
      </c>
      <c r="C382" s="12" t="s">
        <v>1660</v>
      </c>
      <c r="D382" s="13">
        <v>44735</v>
      </c>
      <c r="E382" s="12" t="s">
        <v>1679</v>
      </c>
      <c r="F382" s="12" t="s">
        <v>1680</v>
      </c>
      <c r="G382" s="31">
        <v>72</v>
      </c>
      <c r="H382" s="12" t="s">
        <v>32</v>
      </c>
      <c r="I382" s="14">
        <v>3</v>
      </c>
      <c r="J382" s="15">
        <v>8.6221643115211702E-2</v>
      </c>
      <c r="K382" s="31">
        <f t="shared" si="15"/>
        <v>216</v>
      </c>
      <c r="L382" s="31">
        <f t="shared" si="16"/>
        <v>197</v>
      </c>
      <c r="M382" s="36">
        <f t="shared" si="17"/>
        <v>-19</v>
      </c>
    </row>
    <row r="383" spans="2:13">
      <c r="B383" s="16" t="s">
        <v>821</v>
      </c>
      <c r="C383" s="16" t="s">
        <v>1662</v>
      </c>
      <c r="D383" s="17">
        <v>44737</v>
      </c>
      <c r="E383" s="16" t="s">
        <v>1681</v>
      </c>
      <c r="F383" s="16" t="s">
        <v>1682</v>
      </c>
      <c r="G383" s="32">
        <v>65</v>
      </c>
      <c r="H383" s="16" t="s">
        <v>21</v>
      </c>
      <c r="I383" s="18">
        <v>10</v>
      </c>
      <c r="J383" s="19">
        <v>0.95609718609661598</v>
      </c>
      <c r="K383" s="32">
        <f t="shared" si="15"/>
        <v>650</v>
      </c>
      <c r="L383" s="32">
        <f t="shared" si="16"/>
        <v>29</v>
      </c>
      <c r="M383" s="37">
        <f t="shared" si="17"/>
        <v>-621</v>
      </c>
    </row>
    <row r="384" spans="2:13">
      <c r="B384" s="12" t="s">
        <v>823</v>
      </c>
      <c r="C384" s="12" t="s">
        <v>1664</v>
      </c>
      <c r="D384" s="13">
        <v>44749</v>
      </c>
      <c r="E384" s="12" t="s">
        <v>1683</v>
      </c>
      <c r="F384" s="12" t="s">
        <v>1680</v>
      </c>
      <c r="G384" s="31">
        <v>250</v>
      </c>
      <c r="H384" s="12" t="s">
        <v>26</v>
      </c>
      <c r="I384" s="14">
        <v>2</v>
      </c>
      <c r="J384" s="15">
        <v>0.24552237682220901</v>
      </c>
      <c r="K384" s="31">
        <f t="shared" si="15"/>
        <v>500</v>
      </c>
      <c r="L384" s="31">
        <f t="shared" si="16"/>
        <v>377</v>
      </c>
      <c r="M384" s="36">
        <f t="shared" si="17"/>
        <v>-123</v>
      </c>
    </row>
    <row r="385" spans="2:13">
      <c r="B385" s="16" t="s">
        <v>825</v>
      </c>
      <c r="C385" s="16" t="s">
        <v>1666</v>
      </c>
      <c r="D385" s="17">
        <v>44729</v>
      </c>
      <c r="E385" s="16" t="s">
        <v>1684</v>
      </c>
      <c r="F385" s="16" t="s">
        <v>1682</v>
      </c>
      <c r="G385" s="32">
        <v>130</v>
      </c>
      <c r="H385" s="16" t="s">
        <v>32</v>
      </c>
      <c r="I385" s="18">
        <v>7</v>
      </c>
      <c r="J385" s="19">
        <v>0.56637632681080696</v>
      </c>
      <c r="K385" s="32">
        <f t="shared" si="15"/>
        <v>910</v>
      </c>
      <c r="L385" s="32">
        <f t="shared" si="16"/>
        <v>395</v>
      </c>
      <c r="M385" s="37">
        <f t="shared" si="17"/>
        <v>-515</v>
      </c>
    </row>
    <row r="386" spans="2:13">
      <c r="B386" s="12" t="s">
        <v>827</v>
      </c>
      <c r="C386" s="12" t="s">
        <v>1660</v>
      </c>
      <c r="D386" s="13">
        <v>44738</v>
      </c>
      <c r="E386" s="12" t="s">
        <v>1679</v>
      </c>
      <c r="F386" s="12" t="s">
        <v>1680</v>
      </c>
      <c r="G386" s="31">
        <v>72</v>
      </c>
      <c r="H386" s="12" t="s">
        <v>21</v>
      </c>
      <c r="I386" s="14">
        <v>11</v>
      </c>
      <c r="J386" s="15">
        <v>4.5179835219914199E-2</v>
      </c>
      <c r="K386" s="31">
        <f t="shared" si="15"/>
        <v>792</v>
      </c>
      <c r="L386" s="31">
        <f t="shared" si="16"/>
        <v>756</v>
      </c>
      <c r="M386" s="36">
        <f t="shared" si="17"/>
        <v>-36</v>
      </c>
    </row>
    <row r="387" spans="2:13">
      <c r="B387" s="16" t="s">
        <v>829</v>
      </c>
      <c r="C387" s="16" t="s">
        <v>1662</v>
      </c>
      <c r="D387" s="17">
        <v>44740</v>
      </c>
      <c r="E387" s="16" t="s">
        <v>1681</v>
      </c>
      <c r="F387" s="16" t="s">
        <v>1682</v>
      </c>
      <c r="G387" s="32">
        <v>65</v>
      </c>
      <c r="H387" s="16" t="s">
        <v>26</v>
      </c>
      <c r="I387" s="18">
        <v>13</v>
      </c>
      <c r="J387" s="19">
        <v>0.97345529924354901</v>
      </c>
      <c r="K387" s="32">
        <f t="shared" si="15"/>
        <v>845</v>
      </c>
      <c r="L387" s="32">
        <f t="shared" si="16"/>
        <v>22</v>
      </c>
      <c r="M387" s="37">
        <f t="shared" si="17"/>
        <v>-823</v>
      </c>
    </row>
    <row r="388" spans="2:13">
      <c r="B388" s="12" t="s">
        <v>831</v>
      </c>
      <c r="C388" s="12" t="s">
        <v>1664</v>
      </c>
      <c r="D388" s="13">
        <v>44755</v>
      </c>
      <c r="E388" s="12" t="s">
        <v>1683</v>
      </c>
      <c r="F388" s="12" t="s">
        <v>1680</v>
      </c>
      <c r="G388" s="31">
        <v>250</v>
      </c>
      <c r="H388" s="12" t="s">
        <v>32</v>
      </c>
      <c r="I388" s="14">
        <v>3</v>
      </c>
      <c r="J388" s="15">
        <v>0.56733394419124195</v>
      </c>
      <c r="K388" s="31">
        <f t="shared" si="15"/>
        <v>750</v>
      </c>
      <c r="L388" s="31">
        <f t="shared" si="16"/>
        <v>324</v>
      </c>
      <c r="M388" s="36">
        <f t="shared" si="17"/>
        <v>-426</v>
      </c>
    </row>
    <row r="389" spans="2:13">
      <c r="B389" s="16" t="s">
        <v>833</v>
      </c>
      <c r="C389" s="16" t="s">
        <v>1666</v>
      </c>
      <c r="D389" s="17">
        <v>44755</v>
      </c>
      <c r="E389" s="16" t="s">
        <v>1684</v>
      </c>
      <c r="F389" s="16" t="s">
        <v>1682</v>
      </c>
      <c r="G389" s="32">
        <v>130</v>
      </c>
      <c r="H389" s="16" t="s">
        <v>21</v>
      </c>
      <c r="I389" s="18">
        <v>6</v>
      </c>
      <c r="J389" s="19">
        <v>0.37928431149731201</v>
      </c>
      <c r="K389" s="32">
        <f t="shared" si="15"/>
        <v>780</v>
      </c>
      <c r="L389" s="32">
        <f t="shared" si="16"/>
        <v>484</v>
      </c>
      <c r="M389" s="37">
        <f t="shared" si="17"/>
        <v>-296</v>
      </c>
    </row>
    <row r="390" spans="2:13">
      <c r="B390" s="12" t="s">
        <v>835</v>
      </c>
      <c r="C390" s="12" t="s">
        <v>1668</v>
      </c>
      <c r="D390" s="13">
        <v>44764</v>
      </c>
      <c r="E390" s="12" t="s">
        <v>1685</v>
      </c>
      <c r="F390" s="12" t="s">
        <v>1680</v>
      </c>
      <c r="G390" s="31">
        <v>60</v>
      </c>
      <c r="H390" s="12" t="s">
        <v>26</v>
      </c>
      <c r="I390" s="14">
        <v>15</v>
      </c>
      <c r="J390" s="15">
        <v>0.62865911330533597</v>
      </c>
      <c r="K390" s="31">
        <f t="shared" ref="K390:K453" si="18">PRODUCT(I390,G390)</f>
        <v>900</v>
      </c>
      <c r="L390" s="31">
        <f t="shared" ref="L390:L453" si="19">ROUND(K390*(1-J390),0)</f>
        <v>334</v>
      </c>
      <c r="M390" s="36">
        <f t="shared" si="17"/>
        <v>-566</v>
      </c>
    </row>
    <row r="391" spans="2:13">
      <c r="B391" s="16" t="s">
        <v>837</v>
      </c>
      <c r="C391" s="16" t="s">
        <v>1669</v>
      </c>
      <c r="D391" s="17">
        <v>44735</v>
      </c>
      <c r="E391" s="16" t="s">
        <v>1686</v>
      </c>
      <c r="F391" s="16" t="s">
        <v>1682</v>
      </c>
      <c r="G391" s="32">
        <v>95</v>
      </c>
      <c r="H391" s="16" t="s">
        <v>32</v>
      </c>
      <c r="I391" s="18">
        <v>6</v>
      </c>
      <c r="J391" s="19">
        <v>0.37937934610324497</v>
      </c>
      <c r="K391" s="32">
        <f t="shared" si="18"/>
        <v>570</v>
      </c>
      <c r="L391" s="32">
        <f t="shared" si="19"/>
        <v>354</v>
      </c>
      <c r="M391" s="37">
        <f t="shared" ref="M391:M454" si="20">ROUND(L391-K391,0)</f>
        <v>-216</v>
      </c>
    </row>
    <row r="392" spans="2:13">
      <c r="B392" s="12" t="s">
        <v>839</v>
      </c>
      <c r="C392" s="12" t="s">
        <v>1660</v>
      </c>
      <c r="D392" s="13">
        <v>44734</v>
      </c>
      <c r="E392" s="12" t="s">
        <v>1679</v>
      </c>
      <c r="F392" s="12" t="s">
        <v>1680</v>
      </c>
      <c r="G392" s="31">
        <v>72</v>
      </c>
      <c r="H392" s="12" t="s">
        <v>21</v>
      </c>
      <c r="I392" s="14">
        <v>11</v>
      </c>
      <c r="J392" s="15">
        <v>0.35891515866951101</v>
      </c>
      <c r="K392" s="31">
        <f t="shared" si="18"/>
        <v>792</v>
      </c>
      <c r="L392" s="31">
        <f t="shared" si="19"/>
        <v>508</v>
      </c>
      <c r="M392" s="36">
        <f t="shared" si="20"/>
        <v>-284</v>
      </c>
    </row>
    <row r="393" spans="2:13">
      <c r="B393" s="16" t="s">
        <v>841</v>
      </c>
      <c r="C393" s="16" t="s">
        <v>1662</v>
      </c>
      <c r="D393" s="17">
        <v>44728</v>
      </c>
      <c r="E393" s="16" t="s">
        <v>1681</v>
      </c>
      <c r="F393" s="16" t="s">
        <v>1682</v>
      </c>
      <c r="G393" s="32">
        <v>65</v>
      </c>
      <c r="H393" s="16" t="s">
        <v>26</v>
      </c>
      <c r="I393" s="18">
        <v>13</v>
      </c>
      <c r="J393" s="19">
        <v>0.90122352916020398</v>
      </c>
      <c r="K393" s="32">
        <f t="shared" si="18"/>
        <v>845</v>
      </c>
      <c r="L393" s="32">
        <f t="shared" si="19"/>
        <v>83</v>
      </c>
      <c r="M393" s="37">
        <f t="shared" si="20"/>
        <v>-762</v>
      </c>
    </row>
    <row r="394" spans="2:13">
      <c r="B394" s="12" t="s">
        <v>843</v>
      </c>
      <c r="C394" s="12" t="s">
        <v>1664</v>
      </c>
      <c r="D394" s="13">
        <v>44739</v>
      </c>
      <c r="E394" s="12" t="s">
        <v>1683</v>
      </c>
      <c r="F394" s="12" t="s">
        <v>1682</v>
      </c>
      <c r="G394" s="31">
        <v>250</v>
      </c>
      <c r="H394" s="12" t="s">
        <v>32</v>
      </c>
      <c r="I394" s="14">
        <v>3</v>
      </c>
      <c r="J394" s="15">
        <v>0.377865978777288</v>
      </c>
      <c r="K394" s="31">
        <f t="shared" si="18"/>
        <v>750</v>
      </c>
      <c r="L394" s="31">
        <f t="shared" si="19"/>
        <v>467</v>
      </c>
      <c r="M394" s="36">
        <f t="shared" si="20"/>
        <v>-283</v>
      </c>
    </row>
    <row r="395" spans="2:13">
      <c r="B395" s="16" t="s">
        <v>845</v>
      </c>
      <c r="C395" s="16" t="s">
        <v>1666</v>
      </c>
      <c r="D395" s="17">
        <v>44765</v>
      </c>
      <c r="E395" s="16" t="s">
        <v>1684</v>
      </c>
      <c r="F395" s="16" t="s">
        <v>1682</v>
      </c>
      <c r="G395" s="32">
        <v>130</v>
      </c>
      <c r="H395" s="16" t="s">
        <v>21</v>
      </c>
      <c r="I395" s="18">
        <v>3</v>
      </c>
      <c r="J395" s="19">
        <v>0.38913445453338702</v>
      </c>
      <c r="K395" s="32">
        <f t="shared" si="18"/>
        <v>390</v>
      </c>
      <c r="L395" s="32">
        <f t="shared" si="19"/>
        <v>238</v>
      </c>
      <c r="M395" s="37">
        <f t="shared" si="20"/>
        <v>-152</v>
      </c>
    </row>
    <row r="396" spans="2:13">
      <c r="B396" s="12" t="s">
        <v>847</v>
      </c>
      <c r="C396" s="12" t="s">
        <v>1660</v>
      </c>
      <c r="D396" s="13">
        <v>44740</v>
      </c>
      <c r="E396" s="12" t="s">
        <v>1679</v>
      </c>
      <c r="F396" s="12" t="s">
        <v>1682</v>
      </c>
      <c r="G396" s="31">
        <v>72</v>
      </c>
      <c r="H396" s="12" t="s">
        <v>26</v>
      </c>
      <c r="I396" s="14">
        <v>12</v>
      </c>
      <c r="J396" s="15">
        <v>0.60714667724340499</v>
      </c>
      <c r="K396" s="31">
        <f t="shared" si="18"/>
        <v>864</v>
      </c>
      <c r="L396" s="31">
        <f t="shared" si="19"/>
        <v>339</v>
      </c>
      <c r="M396" s="36">
        <f t="shared" si="20"/>
        <v>-525</v>
      </c>
    </row>
    <row r="397" spans="2:13">
      <c r="B397" s="16" t="s">
        <v>849</v>
      </c>
      <c r="C397" s="16" t="s">
        <v>1662</v>
      </c>
      <c r="D397" s="17">
        <v>44734</v>
      </c>
      <c r="E397" s="16" t="s">
        <v>1681</v>
      </c>
      <c r="F397" s="16" t="s">
        <v>1682</v>
      </c>
      <c r="G397" s="32">
        <v>65</v>
      </c>
      <c r="H397" s="16" t="s">
        <v>32</v>
      </c>
      <c r="I397" s="18">
        <v>8</v>
      </c>
      <c r="J397" s="19">
        <v>0.17261163513710201</v>
      </c>
      <c r="K397" s="32">
        <f t="shared" si="18"/>
        <v>520</v>
      </c>
      <c r="L397" s="32">
        <f t="shared" si="19"/>
        <v>430</v>
      </c>
      <c r="M397" s="37">
        <f t="shared" si="20"/>
        <v>-90</v>
      </c>
    </row>
    <row r="398" spans="2:13">
      <c r="B398" s="12" t="s">
        <v>851</v>
      </c>
      <c r="C398" s="12" t="s">
        <v>1664</v>
      </c>
      <c r="D398" s="13">
        <v>44727</v>
      </c>
      <c r="E398" s="12" t="s">
        <v>1683</v>
      </c>
      <c r="F398" s="12" t="s">
        <v>1680</v>
      </c>
      <c r="G398" s="31">
        <v>250</v>
      </c>
      <c r="H398" s="12" t="s">
        <v>21</v>
      </c>
      <c r="I398" s="14">
        <v>1</v>
      </c>
      <c r="J398" s="15">
        <v>3.4451566476951502E-2</v>
      </c>
      <c r="K398" s="31">
        <f t="shared" si="18"/>
        <v>250</v>
      </c>
      <c r="L398" s="31">
        <f t="shared" si="19"/>
        <v>241</v>
      </c>
      <c r="M398" s="36">
        <f t="shared" si="20"/>
        <v>-9</v>
      </c>
    </row>
    <row r="399" spans="2:13">
      <c r="B399" s="16" t="s">
        <v>853</v>
      </c>
      <c r="C399" s="16" t="s">
        <v>1666</v>
      </c>
      <c r="D399" s="17">
        <v>44737</v>
      </c>
      <c r="E399" s="16" t="s">
        <v>1684</v>
      </c>
      <c r="F399" s="16" t="s">
        <v>1682</v>
      </c>
      <c r="G399" s="32">
        <v>130</v>
      </c>
      <c r="H399" s="16" t="s">
        <v>26</v>
      </c>
      <c r="I399" s="18">
        <v>4</v>
      </c>
      <c r="J399" s="19">
        <v>0.36600821552214802</v>
      </c>
      <c r="K399" s="32">
        <f t="shared" si="18"/>
        <v>520</v>
      </c>
      <c r="L399" s="32">
        <f t="shared" si="19"/>
        <v>330</v>
      </c>
      <c r="M399" s="37">
        <f t="shared" si="20"/>
        <v>-190</v>
      </c>
    </row>
    <row r="400" spans="2:13">
      <c r="B400" s="12" t="s">
        <v>855</v>
      </c>
      <c r="C400" s="12" t="s">
        <v>1668</v>
      </c>
      <c r="D400" s="13">
        <v>44747</v>
      </c>
      <c r="E400" s="12" t="s">
        <v>1685</v>
      </c>
      <c r="F400" s="12" t="s">
        <v>1680</v>
      </c>
      <c r="G400" s="31">
        <v>60</v>
      </c>
      <c r="H400" s="12" t="s">
        <v>32</v>
      </c>
      <c r="I400" s="14">
        <v>4</v>
      </c>
      <c r="J400" s="15">
        <v>0.368763047973245</v>
      </c>
      <c r="K400" s="31">
        <f t="shared" si="18"/>
        <v>240</v>
      </c>
      <c r="L400" s="31">
        <f t="shared" si="19"/>
        <v>151</v>
      </c>
      <c r="M400" s="36">
        <f t="shared" si="20"/>
        <v>-89</v>
      </c>
    </row>
    <row r="401" spans="2:13">
      <c r="B401" s="16" t="s">
        <v>857</v>
      </c>
      <c r="C401" s="16" t="s">
        <v>1660</v>
      </c>
      <c r="D401" s="17">
        <v>44754</v>
      </c>
      <c r="E401" s="16" t="s">
        <v>1679</v>
      </c>
      <c r="F401" s="16" t="s">
        <v>1682</v>
      </c>
      <c r="G401" s="32">
        <v>72</v>
      </c>
      <c r="H401" s="16" t="s">
        <v>21</v>
      </c>
      <c r="I401" s="18">
        <v>12</v>
      </c>
      <c r="J401" s="19">
        <v>0.78491525862060296</v>
      </c>
      <c r="K401" s="32">
        <f t="shared" si="18"/>
        <v>864</v>
      </c>
      <c r="L401" s="32">
        <f t="shared" si="19"/>
        <v>186</v>
      </c>
      <c r="M401" s="37">
        <f t="shared" si="20"/>
        <v>-678</v>
      </c>
    </row>
    <row r="402" spans="2:13">
      <c r="B402" s="12" t="s">
        <v>859</v>
      </c>
      <c r="C402" s="12" t="s">
        <v>1662</v>
      </c>
      <c r="D402" s="13">
        <v>44760</v>
      </c>
      <c r="E402" s="12" t="s">
        <v>1681</v>
      </c>
      <c r="F402" s="12" t="s">
        <v>1680</v>
      </c>
      <c r="G402" s="31">
        <v>65</v>
      </c>
      <c r="H402" s="12" t="s">
        <v>26</v>
      </c>
      <c r="I402" s="14">
        <v>4</v>
      </c>
      <c r="J402" s="15">
        <v>0.89433154555842898</v>
      </c>
      <c r="K402" s="31">
        <f t="shared" si="18"/>
        <v>260</v>
      </c>
      <c r="L402" s="31">
        <f t="shared" si="19"/>
        <v>27</v>
      </c>
      <c r="M402" s="36">
        <f t="shared" si="20"/>
        <v>-233</v>
      </c>
    </row>
    <row r="403" spans="2:13">
      <c r="B403" s="16" t="s">
        <v>861</v>
      </c>
      <c r="C403" s="16" t="s">
        <v>1664</v>
      </c>
      <c r="D403" s="17">
        <v>44759</v>
      </c>
      <c r="E403" s="16" t="s">
        <v>1683</v>
      </c>
      <c r="F403" s="16" t="s">
        <v>1682</v>
      </c>
      <c r="G403" s="32">
        <v>250</v>
      </c>
      <c r="H403" s="16" t="s">
        <v>32</v>
      </c>
      <c r="I403" s="18">
        <v>1</v>
      </c>
      <c r="J403" s="19">
        <v>0.54494310667938295</v>
      </c>
      <c r="K403" s="32">
        <f t="shared" si="18"/>
        <v>250</v>
      </c>
      <c r="L403" s="32">
        <f t="shared" si="19"/>
        <v>114</v>
      </c>
      <c r="M403" s="37">
        <f t="shared" si="20"/>
        <v>-136</v>
      </c>
    </row>
    <row r="404" spans="2:13">
      <c r="B404" s="12" t="s">
        <v>863</v>
      </c>
      <c r="C404" s="12" t="s">
        <v>1666</v>
      </c>
      <c r="D404" s="13">
        <v>44735</v>
      </c>
      <c r="E404" s="12" t="s">
        <v>1684</v>
      </c>
      <c r="F404" s="12" t="s">
        <v>1680</v>
      </c>
      <c r="G404" s="31">
        <v>130</v>
      </c>
      <c r="H404" s="12" t="s">
        <v>21</v>
      </c>
      <c r="I404" s="14">
        <v>7</v>
      </c>
      <c r="J404" s="15">
        <v>0.84443209424513699</v>
      </c>
      <c r="K404" s="31">
        <f t="shared" si="18"/>
        <v>910</v>
      </c>
      <c r="L404" s="31">
        <f t="shared" si="19"/>
        <v>142</v>
      </c>
      <c r="M404" s="36">
        <f t="shared" si="20"/>
        <v>-768</v>
      </c>
    </row>
    <row r="405" spans="2:13">
      <c r="B405" s="16" t="s">
        <v>865</v>
      </c>
      <c r="C405" s="16" t="s">
        <v>1660</v>
      </c>
      <c r="D405" s="17">
        <v>44734</v>
      </c>
      <c r="E405" s="16" t="s">
        <v>1679</v>
      </c>
      <c r="F405" s="16" t="s">
        <v>1682</v>
      </c>
      <c r="G405" s="32">
        <v>72</v>
      </c>
      <c r="H405" s="16" t="s">
        <v>26</v>
      </c>
      <c r="I405" s="18">
        <v>7</v>
      </c>
      <c r="J405" s="19">
        <v>0.110840778780581</v>
      </c>
      <c r="K405" s="32">
        <f t="shared" si="18"/>
        <v>504</v>
      </c>
      <c r="L405" s="32">
        <f t="shared" si="19"/>
        <v>448</v>
      </c>
      <c r="M405" s="37">
        <f t="shared" si="20"/>
        <v>-56</v>
      </c>
    </row>
    <row r="406" spans="2:13">
      <c r="B406" s="12" t="s">
        <v>867</v>
      </c>
      <c r="C406" s="12" t="s">
        <v>1662</v>
      </c>
      <c r="D406" s="13">
        <v>44753</v>
      </c>
      <c r="E406" s="12" t="s">
        <v>1681</v>
      </c>
      <c r="F406" s="12" t="s">
        <v>1680</v>
      </c>
      <c r="G406" s="31">
        <v>65</v>
      </c>
      <c r="H406" s="12" t="s">
        <v>32</v>
      </c>
      <c r="I406" s="14">
        <v>9</v>
      </c>
      <c r="J406" s="15">
        <v>0.26630312920291799</v>
      </c>
      <c r="K406" s="31">
        <f t="shared" si="18"/>
        <v>585</v>
      </c>
      <c r="L406" s="31">
        <f t="shared" si="19"/>
        <v>429</v>
      </c>
      <c r="M406" s="36">
        <f t="shared" si="20"/>
        <v>-156</v>
      </c>
    </row>
    <row r="407" spans="2:13">
      <c r="B407" s="16" t="s">
        <v>869</v>
      </c>
      <c r="C407" s="16" t="s">
        <v>1664</v>
      </c>
      <c r="D407" s="17">
        <v>44739</v>
      </c>
      <c r="E407" s="16" t="s">
        <v>1683</v>
      </c>
      <c r="F407" s="16" t="s">
        <v>1682</v>
      </c>
      <c r="G407" s="32">
        <v>250</v>
      </c>
      <c r="H407" s="16" t="s">
        <v>21</v>
      </c>
      <c r="I407" s="18">
        <v>3</v>
      </c>
      <c r="J407" s="19">
        <v>0.13279161787420099</v>
      </c>
      <c r="K407" s="32">
        <f t="shared" si="18"/>
        <v>750</v>
      </c>
      <c r="L407" s="32">
        <f t="shared" si="19"/>
        <v>650</v>
      </c>
      <c r="M407" s="37">
        <f t="shared" si="20"/>
        <v>-100</v>
      </c>
    </row>
    <row r="408" spans="2:13">
      <c r="B408" s="12" t="s">
        <v>871</v>
      </c>
      <c r="C408" s="12" t="s">
        <v>1666</v>
      </c>
      <c r="D408" s="13">
        <v>44740</v>
      </c>
      <c r="E408" s="12" t="s">
        <v>1684</v>
      </c>
      <c r="F408" s="12" t="s">
        <v>1680</v>
      </c>
      <c r="G408" s="31">
        <v>130</v>
      </c>
      <c r="H408" s="12" t="s">
        <v>26</v>
      </c>
      <c r="I408" s="14">
        <v>4</v>
      </c>
      <c r="J408" s="15">
        <v>0.20794478004129099</v>
      </c>
      <c r="K408" s="31">
        <f t="shared" si="18"/>
        <v>520</v>
      </c>
      <c r="L408" s="31">
        <f t="shared" si="19"/>
        <v>412</v>
      </c>
      <c r="M408" s="36">
        <f t="shared" si="20"/>
        <v>-108</v>
      </c>
    </row>
    <row r="409" spans="2:13">
      <c r="B409" s="16" t="s">
        <v>873</v>
      </c>
      <c r="C409" s="16" t="s">
        <v>1668</v>
      </c>
      <c r="D409" s="17">
        <v>44748</v>
      </c>
      <c r="E409" s="16" t="s">
        <v>1685</v>
      </c>
      <c r="F409" s="16" t="s">
        <v>1682</v>
      </c>
      <c r="G409" s="32">
        <v>60</v>
      </c>
      <c r="H409" s="16" t="s">
        <v>32</v>
      </c>
      <c r="I409" s="18">
        <v>12</v>
      </c>
      <c r="J409" s="19">
        <v>0.76031378549826001</v>
      </c>
      <c r="K409" s="32">
        <f t="shared" si="18"/>
        <v>720</v>
      </c>
      <c r="L409" s="32">
        <f t="shared" si="19"/>
        <v>173</v>
      </c>
      <c r="M409" s="37">
        <f t="shared" si="20"/>
        <v>-547</v>
      </c>
    </row>
    <row r="410" spans="2:13">
      <c r="B410" s="12" t="s">
        <v>875</v>
      </c>
      <c r="C410" s="12" t="s">
        <v>1669</v>
      </c>
      <c r="D410" s="13">
        <v>44731</v>
      </c>
      <c r="E410" s="12" t="s">
        <v>1686</v>
      </c>
      <c r="F410" s="12" t="s">
        <v>1680</v>
      </c>
      <c r="G410" s="31">
        <v>95</v>
      </c>
      <c r="H410" s="12" t="s">
        <v>21</v>
      </c>
      <c r="I410" s="14">
        <v>8</v>
      </c>
      <c r="J410" s="15">
        <v>0.23804641255169801</v>
      </c>
      <c r="K410" s="31">
        <f t="shared" si="18"/>
        <v>760</v>
      </c>
      <c r="L410" s="31">
        <f t="shared" si="19"/>
        <v>579</v>
      </c>
      <c r="M410" s="36">
        <f t="shared" si="20"/>
        <v>-181</v>
      </c>
    </row>
    <row r="411" spans="2:13">
      <c r="B411" s="16" t="s">
        <v>877</v>
      </c>
      <c r="C411" s="16" t="s">
        <v>1660</v>
      </c>
      <c r="D411" s="17">
        <v>44763</v>
      </c>
      <c r="E411" s="16" t="s">
        <v>1679</v>
      </c>
      <c r="F411" s="16" t="s">
        <v>1682</v>
      </c>
      <c r="G411" s="32">
        <v>72</v>
      </c>
      <c r="H411" s="16" t="s">
        <v>26</v>
      </c>
      <c r="I411" s="18">
        <v>5</v>
      </c>
      <c r="J411" s="19">
        <v>0.125236893699367</v>
      </c>
      <c r="K411" s="32">
        <f t="shared" si="18"/>
        <v>360</v>
      </c>
      <c r="L411" s="32">
        <f t="shared" si="19"/>
        <v>315</v>
      </c>
      <c r="M411" s="37">
        <f t="shared" si="20"/>
        <v>-45</v>
      </c>
    </row>
    <row r="412" spans="2:13">
      <c r="B412" s="12" t="s">
        <v>879</v>
      </c>
      <c r="C412" s="12" t="s">
        <v>1662</v>
      </c>
      <c r="D412" s="13">
        <v>44733</v>
      </c>
      <c r="E412" s="12" t="s">
        <v>1681</v>
      </c>
      <c r="F412" s="12" t="s">
        <v>1680</v>
      </c>
      <c r="G412" s="31">
        <v>65</v>
      </c>
      <c r="H412" s="12" t="s">
        <v>32</v>
      </c>
      <c r="I412" s="14">
        <v>4</v>
      </c>
      <c r="J412" s="15">
        <v>6.7101746358327094E-2</v>
      </c>
      <c r="K412" s="31">
        <f t="shared" si="18"/>
        <v>260</v>
      </c>
      <c r="L412" s="31">
        <f t="shared" si="19"/>
        <v>243</v>
      </c>
      <c r="M412" s="36">
        <f t="shared" si="20"/>
        <v>-17</v>
      </c>
    </row>
    <row r="413" spans="2:13">
      <c r="B413" s="16" t="s">
        <v>881</v>
      </c>
      <c r="C413" s="16" t="s">
        <v>1664</v>
      </c>
      <c r="D413" s="17">
        <v>44746</v>
      </c>
      <c r="E413" s="16" t="s">
        <v>1683</v>
      </c>
      <c r="F413" s="16" t="s">
        <v>1682</v>
      </c>
      <c r="G413" s="32">
        <v>250</v>
      </c>
      <c r="H413" s="16" t="s">
        <v>21</v>
      </c>
      <c r="I413" s="18">
        <v>2</v>
      </c>
      <c r="J413" s="19">
        <v>0.98970617123906501</v>
      </c>
      <c r="K413" s="32">
        <f t="shared" si="18"/>
        <v>500</v>
      </c>
      <c r="L413" s="32">
        <f t="shared" si="19"/>
        <v>5</v>
      </c>
      <c r="M413" s="37">
        <f t="shared" si="20"/>
        <v>-495</v>
      </c>
    </row>
    <row r="414" spans="2:13">
      <c r="B414" s="12" t="s">
        <v>883</v>
      </c>
      <c r="C414" s="12" t="s">
        <v>1666</v>
      </c>
      <c r="D414" s="13">
        <v>44755</v>
      </c>
      <c r="E414" s="12" t="s">
        <v>1684</v>
      </c>
      <c r="F414" s="12" t="s">
        <v>1680</v>
      </c>
      <c r="G414" s="31">
        <v>130</v>
      </c>
      <c r="H414" s="12" t="s">
        <v>26</v>
      </c>
      <c r="I414" s="14">
        <v>2</v>
      </c>
      <c r="J414" s="15">
        <v>0.26202679185175098</v>
      </c>
      <c r="K414" s="31">
        <f t="shared" si="18"/>
        <v>260</v>
      </c>
      <c r="L414" s="31">
        <f t="shared" si="19"/>
        <v>192</v>
      </c>
      <c r="M414" s="36">
        <f t="shared" si="20"/>
        <v>-68</v>
      </c>
    </row>
    <row r="415" spans="2:13">
      <c r="B415" s="16" t="s">
        <v>885</v>
      </c>
      <c r="C415" s="16" t="s">
        <v>1660</v>
      </c>
      <c r="D415" s="17">
        <v>44755</v>
      </c>
      <c r="E415" s="16" t="s">
        <v>1679</v>
      </c>
      <c r="F415" s="16" t="s">
        <v>1682</v>
      </c>
      <c r="G415" s="32">
        <v>72</v>
      </c>
      <c r="H415" s="16" t="s">
        <v>32</v>
      </c>
      <c r="I415" s="18">
        <v>10</v>
      </c>
      <c r="J415" s="19">
        <v>0.872631439539165</v>
      </c>
      <c r="K415" s="32">
        <f t="shared" si="18"/>
        <v>720</v>
      </c>
      <c r="L415" s="32">
        <f t="shared" si="19"/>
        <v>92</v>
      </c>
      <c r="M415" s="37">
        <f t="shared" si="20"/>
        <v>-628</v>
      </c>
    </row>
    <row r="416" spans="2:13">
      <c r="B416" s="12" t="s">
        <v>887</v>
      </c>
      <c r="C416" s="12" t="s">
        <v>1662</v>
      </c>
      <c r="D416" s="13">
        <v>44727</v>
      </c>
      <c r="E416" s="12" t="s">
        <v>1681</v>
      </c>
      <c r="F416" s="12" t="s">
        <v>1682</v>
      </c>
      <c r="G416" s="31">
        <v>65</v>
      </c>
      <c r="H416" s="12" t="s">
        <v>21</v>
      </c>
      <c r="I416" s="14">
        <v>6</v>
      </c>
      <c r="J416" s="15">
        <v>0.767781370622723</v>
      </c>
      <c r="K416" s="31">
        <f t="shared" si="18"/>
        <v>390</v>
      </c>
      <c r="L416" s="31">
        <f t="shared" si="19"/>
        <v>91</v>
      </c>
      <c r="M416" s="36">
        <f t="shared" si="20"/>
        <v>-299</v>
      </c>
    </row>
    <row r="417" spans="2:13">
      <c r="B417" s="16" t="s">
        <v>889</v>
      </c>
      <c r="C417" s="16" t="s">
        <v>1664</v>
      </c>
      <c r="D417" s="17">
        <v>44746</v>
      </c>
      <c r="E417" s="16" t="s">
        <v>1683</v>
      </c>
      <c r="F417" s="16" t="s">
        <v>1682</v>
      </c>
      <c r="G417" s="32">
        <v>250</v>
      </c>
      <c r="H417" s="16" t="s">
        <v>26</v>
      </c>
      <c r="I417" s="18">
        <v>1</v>
      </c>
      <c r="J417" s="19">
        <v>0.157500106311217</v>
      </c>
      <c r="K417" s="32">
        <f t="shared" si="18"/>
        <v>250</v>
      </c>
      <c r="L417" s="32">
        <f t="shared" si="19"/>
        <v>211</v>
      </c>
      <c r="M417" s="37">
        <f t="shared" si="20"/>
        <v>-39</v>
      </c>
    </row>
    <row r="418" spans="2:13">
      <c r="B418" s="12" t="s">
        <v>891</v>
      </c>
      <c r="C418" s="12" t="s">
        <v>1666</v>
      </c>
      <c r="D418" s="13">
        <v>44740</v>
      </c>
      <c r="E418" s="12" t="s">
        <v>1679</v>
      </c>
      <c r="F418" s="12" t="s">
        <v>1682</v>
      </c>
      <c r="G418" s="31">
        <v>72</v>
      </c>
      <c r="H418" s="12" t="s">
        <v>32</v>
      </c>
      <c r="I418" s="14">
        <v>9</v>
      </c>
      <c r="J418" s="15">
        <v>0.535701714654926</v>
      </c>
      <c r="K418" s="31">
        <f t="shared" si="18"/>
        <v>648</v>
      </c>
      <c r="L418" s="31">
        <f t="shared" si="19"/>
        <v>301</v>
      </c>
      <c r="M418" s="36">
        <f t="shared" si="20"/>
        <v>-347</v>
      </c>
    </row>
    <row r="419" spans="2:13">
      <c r="B419" s="16" t="s">
        <v>893</v>
      </c>
      <c r="C419" s="16" t="s">
        <v>1660</v>
      </c>
      <c r="D419" s="17">
        <v>44743</v>
      </c>
      <c r="E419" s="16" t="s">
        <v>1681</v>
      </c>
      <c r="F419" s="16" t="s">
        <v>1682</v>
      </c>
      <c r="G419" s="32">
        <v>65</v>
      </c>
      <c r="H419" s="16" t="s">
        <v>21</v>
      </c>
      <c r="I419" s="18">
        <v>7</v>
      </c>
      <c r="J419" s="19">
        <v>0.88217490075954397</v>
      </c>
      <c r="K419" s="32">
        <f t="shared" si="18"/>
        <v>455</v>
      </c>
      <c r="L419" s="32">
        <f t="shared" si="19"/>
        <v>54</v>
      </c>
      <c r="M419" s="37">
        <f t="shared" si="20"/>
        <v>-401</v>
      </c>
    </row>
    <row r="420" spans="2:13">
      <c r="B420" s="12" t="s">
        <v>895</v>
      </c>
      <c r="C420" s="12" t="s">
        <v>1662</v>
      </c>
      <c r="D420" s="13">
        <v>44737</v>
      </c>
      <c r="E420" s="12" t="s">
        <v>1683</v>
      </c>
      <c r="F420" s="12" t="s">
        <v>1680</v>
      </c>
      <c r="G420" s="31">
        <v>250</v>
      </c>
      <c r="H420" s="12" t="s">
        <v>21</v>
      </c>
      <c r="I420" s="14">
        <v>3</v>
      </c>
      <c r="J420" s="15">
        <v>7.48500814655743E-2</v>
      </c>
      <c r="K420" s="31">
        <f t="shared" si="18"/>
        <v>750</v>
      </c>
      <c r="L420" s="31">
        <f t="shared" si="19"/>
        <v>694</v>
      </c>
      <c r="M420" s="36">
        <f t="shared" si="20"/>
        <v>-56</v>
      </c>
    </row>
    <row r="421" spans="2:13">
      <c r="B421" s="16" t="s">
        <v>897</v>
      </c>
      <c r="C421" s="16" t="s">
        <v>1664</v>
      </c>
      <c r="D421" s="17">
        <v>44757</v>
      </c>
      <c r="E421" s="16" t="s">
        <v>1684</v>
      </c>
      <c r="F421" s="16" t="s">
        <v>1682</v>
      </c>
      <c r="G421" s="32">
        <v>130</v>
      </c>
      <c r="H421" s="16" t="s">
        <v>26</v>
      </c>
      <c r="I421" s="18">
        <v>4</v>
      </c>
      <c r="J421" s="19">
        <v>0.46235152425303</v>
      </c>
      <c r="K421" s="32">
        <f t="shared" si="18"/>
        <v>520</v>
      </c>
      <c r="L421" s="32">
        <f t="shared" si="19"/>
        <v>280</v>
      </c>
      <c r="M421" s="37">
        <f t="shared" si="20"/>
        <v>-240</v>
      </c>
    </row>
    <row r="422" spans="2:13">
      <c r="B422" s="12" t="s">
        <v>899</v>
      </c>
      <c r="C422" s="12" t="s">
        <v>1666</v>
      </c>
      <c r="D422" s="13">
        <v>44745</v>
      </c>
      <c r="E422" s="12" t="s">
        <v>1679</v>
      </c>
      <c r="F422" s="12" t="s">
        <v>1680</v>
      </c>
      <c r="G422" s="31">
        <v>72</v>
      </c>
      <c r="H422" s="12" t="s">
        <v>32</v>
      </c>
      <c r="I422" s="14">
        <v>10</v>
      </c>
      <c r="J422" s="15">
        <v>0.34462700763177101</v>
      </c>
      <c r="K422" s="31">
        <f t="shared" si="18"/>
        <v>720</v>
      </c>
      <c r="L422" s="31">
        <f t="shared" si="19"/>
        <v>472</v>
      </c>
      <c r="M422" s="36">
        <f t="shared" si="20"/>
        <v>-248</v>
      </c>
    </row>
    <row r="423" spans="2:13">
      <c r="B423" s="16" t="s">
        <v>901</v>
      </c>
      <c r="C423" s="16" t="s">
        <v>1660</v>
      </c>
      <c r="D423" s="17">
        <v>44760</v>
      </c>
      <c r="E423" s="16" t="s">
        <v>1681</v>
      </c>
      <c r="F423" s="16" t="s">
        <v>1682</v>
      </c>
      <c r="G423" s="32">
        <v>65</v>
      </c>
      <c r="H423" s="16" t="s">
        <v>21</v>
      </c>
      <c r="I423" s="18">
        <v>7</v>
      </c>
      <c r="J423" s="19">
        <v>0.69911624131260197</v>
      </c>
      <c r="K423" s="32">
        <f t="shared" si="18"/>
        <v>455</v>
      </c>
      <c r="L423" s="32">
        <f t="shared" si="19"/>
        <v>137</v>
      </c>
      <c r="M423" s="37">
        <f t="shared" si="20"/>
        <v>-318</v>
      </c>
    </row>
    <row r="424" spans="2:13">
      <c r="B424" s="12" t="s">
        <v>903</v>
      </c>
      <c r="C424" s="12" t="s">
        <v>1662</v>
      </c>
      <c r="D424" s="13">
        <v>44750</v>
      </c>
      <c r="E424" s="12" t="s">
        <v>1683</v>
      </c>
      <c r="F424" s="12" t="s">
        <v>1680</v>
      </c>
      <c r="G424" s="31">
        <v>250</v>
      </c>
      <c r="H424" s="12" t="s">
        <v>26</v>
      </c>
      <c r="I424" s="14">
        <v>1</v>
      </c>
      <c r="J424" s="15">
        <v>1.8909469867059901E-2</v>
      </c>
      <c r="K424" s="31">
        <f t="shared" si="18"/>
        <v>250</v>
      </c>
      <c r="L424" s="31">
        <f t="shared" si="19"/>
        <v>245</v>
      </c>
      <c r="M424" s="36">
        <f t="shared" si="20"/>
        <v>-5</v>
      </c>
    </row>
    <row r="425" spans="2:13">
      <c r="B425" s="16" t="s">
        <v>905</v>
      </c>
      <c r="C425" s="16" t="s">
        <v>1664</v>
      </c>
      <c r="D425" s="17">
        <v>44742</v>
      </c>
      <c r="E425" s="16" t="s">
        <v>1684</v>
      </c>
      <c r="F425" s="16" t="s">
        <v>1682</v>
      </c>
      <c r="G425" s="32">
        <v>130</v>
      </c>
      <c r="H425" s="16" t="s">
        <v>32</v>
      </c>
      <c r="I425" s="18">
        <v>5</v>
      </c>
      <c r="J425" s="19">
        <v>0.73245470088007103</v>
      </c>
      <c r="K425" s="32">
        <f t="shared" si="18"/>
        <v>650</v>
      </c>
      <c r="L425" s="32">
        <f t="shared" si="19"/>
        <v>174</v>
      </c>
      <c r="M425" s="37">
        <f t="shared" si="20"/>
        <v>-476</v>
      </c>
    </row>
    <row r="426" spans="2:13">
      <c r="B426" s="12" t="s">
        <v>907</v>
      </c>
      <c r="C426" s="12" t="s">
        <v>1666</v>
      </c>
      <c r="D426" s="13">
        <v>44754</v>
      </c>
      <c r="E426" s="12" t="s">
        <v>1685</v>
      </c>
      <c r="F426" s="12" t="s">
        <v>1680</v>
      </c>
      <c r="G426" s="31">
        <v>60</v>
      </c>
      <c r="H426" s="12" t="s">
        <v>21</v>
      </c>
      <c r="I426" s="14">
        <v>5</v>
      </c>
      <c r="J426" s="15">
        <v>0.72297451744539298</v>
      </c>
      <c r="K426" s="31">
        <f t="shared" si="18"/>
        <v>300</v>
      </c>
      <c r="L426" s="31">
        <f t="shared" si="19"/>
        <v>83</v>
      </c>
      <c r="M426" s="36">
        <f t="shared" si="20"/>
        <v>-217</v>
      </c>
    </row>
    <row r="427" spans="2:13">
      <c r="B427" s="16" t="s">
        <v>909</v>
      </c>
      <c r="C427" s="16" t="s">
        <v>1668</v>
      </c>
      <c r="D427" s="17">
        <v>44746</v>
      </c>
      <c r="E427" s="16" t="s">
        <v>1679</v>
      </c>
      <c r="F427" s="16" t="s">
        <v>1682</v>
      </c>
      <c r="G427" s="32">
        <v>72</v>
      </c>
      <c r="H427" s="16" t="s">
        <v>26</v>
      </c>
      <c r="I427" s="18">
        <v>9</v>
      </c>
      <c r="J427" s="19">
        <v>0.97417776505363796</v>
      </c>
      <c r="K427" s="32">
        <f t="shared" si="18"/>
        <v>648</v>
      </c>
      <c r="L427" s="32">
        <f t="shared" si="19"/>
        <v>17</v>
      </c>
      <c r="M427" s="37">
        <f t="shared" si="20"/>
        <v>-631</v>
      </c>
    </row>
    <row r="428" spans="2:13">
      <c r="B428" s="12" t="s">
        <v>911</v>
      </c>
      <c r="C428" s="12" t="s">
        <v>1660</v>
      </c>
      <c r="D428" s="13">
        <v>44752</v>
      </c>
      <c r="E428" s="12" t="s">
        <v>1681</v>
      </c>
      <c r="F428" s="12" t="s">
        <v>1680</v>
      </c>
      <c r="G428" s="31">
        <v>65</v>
      </c>
      <c r="H428" s="12" t="s">
        <v>32</v>
      </c>
      <c r="I428" s="14">
        <v>7</v>
      </c>
      <c r="J428" s="15">
        <v>0.92441295707634297</v>
      </c>
      <c r="K428" s="31">
        <f t="shared" si="18"/>
        <v>455</v>
      </c>
      <c r="L428" s="31">
        <f t="shared" si="19"/>
        <v>34</v>
      </c>
      <c r="M428" s="36">
        <f t="shared" si="20"/>
        <v>-421</v>
      </c>
    </row>
    <row r="429" spans="2:13">
      <c r="B429" s="16" t="s">
        <v>913</v>
      </c>
      <c r="C429" s="16" t="s">
        <v>1662</v>
      </c>
      <c r="D429" s="17">
        <v>44725</v>
      </c>
      <c r="E429" s="16" t="s">
        <v>1683</v>
      </c>
      <c r="F429" s="16" t="s">
        <v>1682</v>
      </c>
      <c r="G429" s="32">
        <v>250</v>
      </c>
      <c r="H429" s="16" t="s">
        <v>21</v>
      </c>
      <c r="I429" s="18">
        <v>3</v>
      </c>
      <c r="J429" s="19">
        <v>0.34841204291363498</v>
      </c>
      <c r="K429" s="32">
        <f t="shared" si="18"/>
        <v>750</v>
      </c>
      <c r="L429" s="32">
        <f t="shared" si="19"/>
        <v>489</v>
      </c>
      <c r="M429" s="37">
        <f t="shared" si="20"/>
        <v>-261</v>
      </c>
    </row>
    <row r="430" spans="2:13">
      <c r="B430" s="12" t="s">
        <v>915</v>
      </c>
      <c r="C430" s="12" t="s">
        <v>1664</v>
      </c>
      <c r="D430" s="13">
        <v>44734</v>
      </c>
      <c r="E430" s="12" t="s">
        <v>1684</v>
      </c>
      <c r="F430" s="12" t="s">
        <v>1680</v>
      </c>
      <c r="G430" s="31">
        <v>130</v>
      </c>
      <c r="H430" s="12" t="s">
        <v>26</v>
      </c>
      <c r="I430" s="14">
        <v>7</v>
      </c>
      <c r="J430" s="15">
        <v>0.368627955024868</v>
      </c>
      <c r="K430" s="31">
        <f t="shared" si="18"/>
        <v>910</v>
      </c>
      <c r="L430" s="31">
        <f t="shared" si="19"/>
        <v>575</v>
      </c>
      <c r="M430" s="36">
        <f t="shared" si="20"/>
        <v>-335</v>
      </c>
    </row>
    <row r="431" spans="2:13">
      <c r="B431" s="16" t="s">
        <v>917</v>
      </c>
      <c r="C431" s="16" t="s">
        <v>1666</v>
      </c>
      <c r="D431" s="17">
        <v>44761</v>
      </c>
      <c r="E431" s="16" t="s">
        <v>1679</v>
      </c>
      <c r="F431" s="16" t="s">
        <v>1682</v>
      </c>
      <c r="G431" s="32">
        <v>72</v>
      </c>
      <c r="H431" s="16" t="s">
        <v>32</v>
      </c>
      <c r="I431" s="18">
        <v>12</v>
      </c>
      <c r="J431" s="19">
        <v>0.38279600115505602</v>
      </c>
      <c r="K431" s="32">
        <f t="shared" si="18"/>
        <v>864</v>
      </c>
      <c r="L431" s="32">
        <f t="shared" si="19"/>
        <v>533</v>
      </c>
      <c r="M431" s="37">
        <f t="shared" si="20"/>
        <v>-331</v>
      </c>
    </row>
    <row r="432" spans="2:13">
      <c r="B432" s="12" t="s">
        <v>919</v>
      </c>
      <c r="C432" s="12" t="s">
        <v>1660</v>
      </c>
      <c r="D432" s="13">
        <v>44735</v>
      </c>
      <c r="E432" s="12" t="s">
        <v>1681</v>
      </c>
      <c r="F432" s="12" t="s">
        <v>1680</v>
      </c>
      <c r="G432" s="31">
        <v>65</v>
      </c>
      <c r="H432" s="12" t="s">
        <v>21</v>
      </c>
      <c r="I432" s="14">
        <v>7</v>
      </c>
      <c r="J432" s="15">
        <v>0.772781619237633</v>
      </c>
      <c r="K432" s="31">
        <f t="shared" si="18"/>
        <v>455</v>
      </c>
      <c r="L432" s="31">
        <f t="shared" si="19"/>
        <v>103</v>
      </c>
      <c r="M432" s="36">
        <f t="shared" si="20"/>
        <v>-352</v>
      </c>
    </row>
    <row r="433" spans="2:13">
      <c r="B433" s="16" t="s">
        <v>921</v>
      </c>
      <c r="C433" s="16" t="s">
        <v>1662</v>
      </c>
      <c r="D433" s="17">
        <v>44753</v>
      </c>
      <c r="E433" s="16" t="s">
        <v>1683</v>
      </c>
      <c r="F433" s="16" t="s">
        <v>1682</v>
      </c>
      <c r="G433" s="32">
        <v>250</v>
      </c>
      <c r="H433" s="16" t="s">
        <v>26</v>
      </c>
      <c r="I433" s="18">
        <v>3</v>
      </c>
      <c r="J433" s="19">
        <v>0.98194581947705395</v>
      </c>
      <c r="K433" s="32">
        <f t="shared" si="18"/>
        <v>750</v>
      </c>
      <c r="L433" s="32">
        <f t="shared" si="19"/>
        <v>14</v>
      </c>
      <c r="M433" s="37">
        <f t="shared" si="20"/>
        <v>-736</v>
      </c>
    </row>
    <row r="434" spans="2:13">
      <c r="B434" s="12" t="s">
        <v>923</v>
      </c>
      <c r="C434" s="12" t="s">
        <v>1664</v>
      </c>
      <c r="D434" s="13">
        <v>44732</v>
      </c>
      <c r="E434" s="12" t="s">
        <v>1684</v>
      </c>
      <c r="F434" s="12" t="s">
        <v>1680</v>
      </c>
      <c r="G434" s="31">
        <v>130</v>
      </c>
      <c r="H434" s="12" t="s">
        <v>32</v>
      </c>
      <c r="I434" s="14">
        <v>6</v>
      </c>
      <c r="J434" s="15">
        <v>0.24372632968767699</v>
      </c>
      <c r="K434" s="31">
        <f t="shared" si="18"/>
        <v>780</v>
      </c>
      <c r="L434" s="31">
        <f t="shared" si="19"/>
        <v>590</v>
      </c>
      <c r="M434" s="36">
        <f t="shared" si="20"/>
        <v>-190</v>
      </c>
    </row>
    <row r="435" spans="2:13">
      <c r="B435" s="16" t="s">
        <v>925</v>
      </c>
      <c r="C435" s="16" t="s">
        <v>1666</v>
      </c>
      <c r="D435" s="17">
        <v>44748</v>
      </c>
      <c r="E435" s="16" t="s">
        <v>1685</v>
      </c>
      <c r="F435" s="16" t="s">
        <v>1682</v>
      </c>
      <c r="G435" s="32">
        <v>60</v>
      </c>
      <c r="H435" s="16" t="s">
        <v>21</v>
      </c>
      <c r="I435" s="18">
        <v>14</v>
      </c>
      <c r="J435" s="19">
        <v>0.50977491571581601</v>
      </c>
      <c r="K435" s="32">
        <f t="shared" si="18"/>
        <v>840</v>
      </c>
      <c r="L435" s="32">
        <f t="shared" si="19"/>
        <v>412</v>
      </c>
      <c r="M435" s="37">
        <f t="shared" si="20"/>
        <v>-428</v>
      </c>
    </row>
    <row r="436" spans="2:13">
      <c r="B436" s="12" t="s">
        <v>927</v>
      </c>
      <c r="C436" s="12" t="s">
        <v>1668</v>
      </c>
      <c r="D436" s="13">
        <v>44731</v>
      </c>
      <c r="E436" s="12" t="s">
        <v>1686</v>
      </c>
      <c r="F436" s="12" t="s">
        <v>1680</v>
      </c>
      <c r="G436" s="31">
        <v>95</v>
      </c>
      <c r="H436" s="12" t="s">
        <v>26</v>
      </c>
      <c r="I436" s="14">
        <v>7</v>
      </c>
      <c r="J436" s="15">
        <v>0.99123744515485701</v>
      </c>
      <c r="K436" s="31">
        <f t="shared" si="18"/>
        <v>665</v>
      </c>
      <c r="L436" s="31">
        <f t="shared" si="19"/>
        <v>6</v>
      </c>
      <c r="M436" s="36">
        <f t="shared" si="20"/>
        <v>-659</v>
      </c>
    </row>
    <row r="437" spans="2:13">
      <c r="B437" s="16" t="s">
        <v>929</v>
      </c>
      <c r="C437" s="16" t="s">
        <v>1669</v>
      </c>
      <c r="D437" s="17">
        <v>44725</v>
      </c>
      <c r="E437" s="16" t="s">
        <v>1679</v>
      </c>
      <c r="F437" s="16" t="s">
        <v>1682</v>
      </c>
      <c r="G437" s="32">
        <v>72</v>
      </c>
      <c r="H437" s="16" t="s">
        <v>32</v>
      </c>
      <c r="I437" s="18">
        <v>5</v>
      </c>
      <c r="J437" s="19">
        <v>0.58001027642401204</v>
      </c>
      <c r="K437" s="32">
        <f t="shared" si="18"/>
        <v>360</v>
      </c>
      <c r="L437" s="32">
        <f t="shared" si="19"/>
        <v>151</v>
      </c>
      <c r="M437" s="37">
        <f t="shared" si="20"/>
        <v>-209</v>
      </c>
    </row>
    <row r="438" spans="2:13">
      <c r="B438" s="12" t="s">
        <v>931</v>
      </c>
      <c r="C438" s="12" t="s">
        <v>1660</v>
      </c>
      <c r="D438" s="13">
        <v>44753</v>
      </c>
      <c r="E438" s="12" t="s">
        <v>1681</v>
      </c>
      <c r="F438" s="12" t="s">
        <v>1682</v>
      </c>
      <c r="G438" s="31">
        <v>65</v>
      </c>
      <c r="H438" s="12" t="s">
        <v>21</v>
      </c>
      <c r="I438" s="14">
        <v>8</v>
      </c>
      <c r="J438" s="15">
        <v>0.200998095208025</v>
      </c>
      <c r="K438" s="31">
        <f t="shared" si="18"/>
        <v>520</v>
      </c>
      <c r="L438" s="31">
        <f t="shared" si="19"/>
        <v>415</v>
      </c>
      <c r="M438" s="36">
        <f t="shared" si="20"/>
        <v>-105</v>
      </c>
    </row>
    <row r="439" spans="2:13">
      <c r="B439" s="16" t="s">
        <v>933</v>
      </c>
      <c r="C439" s="16" t="s">
        <v>1662</v>
      </c>
      <c r="D439" s="17">
        <v>44738</v>
      </c>
      <c r="E439" s="16" t="s">
        <v>1683</v>
      </c>
      <c r="F439" s="16" t="s">
        <v>1682</v>
      </c>
      <c r="G439" s="32">
        <v>250</v>
      </c>
      <c r="H439" s="16" t="s">
        <v>26</v>
      </c>
      <c r="I439" s="18">
        <v>3</v>
      </c>
      <c r="J439" s="19">
        <v>8.7589082057090401E-2</v>
      </c>
      <c r="K439" s="32">
        <f t="shared" si="18"/>
        <v>750</v>
      </c>
      <c r="L439" s="32">
        <f t="shared" si="19"/>
        <v>684</v>
      </c>
      <c r="M439" s="37">
        <f t="shared" si="20"/>
        <v>-66</v>
      </c>
    </row>
    <row r="440" spans="2:13">
      <c r="B440" s="12" t="s">
        <v>935</v>
      </c>
      <c r="C440" s="12" t="s">
        <v>1664</v>
      </c>
      <c r="D440" s="13">
        <v>44762</v>
      </c>
      <c r="E440" s="12" t="s">
        <v>1684</v>
      </c>
      <c r="F440" s="12" t="s">
        <v>1682</v>
      </c>
      <c r="G440" s="31">
        <v>130</v>
      </c>
      <c r="H440" s="12" t="s">
        <v>32</v>
      </c>
      <c r="I440" s="14">
        <v>4</v>
      </c>
      <c r="J440" s="15">
        <v>0.92203517798439605</v>
      </c>
      <c r="K440" s="31">
        <f t="shared" si="18"/>
        <v>520</v>
      </c>
      <c r="L440" s="31">
        <f t="shared" si="19"/>
        <v>41</v>
      </c>
      <c r="M440" s="36">
        <f t="shared" si="20"/>
        <v>-479</v>
      </c>
    </row>
    <row r="441" spans="2:13">
      <c r="B441" s="16" t="s">
        <v>937</v>
      </c>
      <c r="C441" s="16" t="s">
        <v>1666</v>
      </c>
      <c r="D441" s="17">
        <v>44756</v>
      </c>
      <c r="E441" s="16" t="s">
        <v>1679</v>
      </c>
      <c r="F441" s="16" t="s">
        <v>1682</v>
      </c>
      <c r="G441" s="32">
        <v>72</v>
      </c>
      <c r="H441" s="16" t="s">
        <v>21</v>
      </c>
      <c r="I441" s="18">
        <v>10</v>
      </c>
      <c r="J441" s="19">
        <v>0.406469512164156</v>
      </c>
      <c r="K441" s="32">
        <f t="shared" si="18"/>
        <v>720</v>
      </c>
      <c r="L441" s="32">
        <f t="shared" si="19"/>
        <v>427</v>
      </c>
      <c r="M441" s="37">
        <f t="shared" si="20"/>
        <v>-293</v>
      </c>
    </row>
    <row r="442" spans="2:13">
      <c r="B442" s="12" t="s">
        <v>939</v>
      </c>
      <c r="C442" s="12" t="s">
        <v>1660</v>
      </c>
      <c r="D442" s="13">
        <v>44744</v>
      </c>
      <c r="E442" s="12" t="s">
        <v>1681</v>
      </c>
      <c r="F442" s="12" t="s">
        <v>1680</v>
      </c>
      <c r="G442" s="31">
        <v>65</v>
      </c>
      <c r="H442" s="12" t="s">
        <v>26</v>
      </c>
      <c r="I442" s="14">
        <v>4</v>
      </c>
      <c r="J442" s="15">
        <v>0.45522048494031297</v>
      </c>
      <c r="K442" s="31">
        <f t="shared" si="18"/>
        <v>260</v>
      </c>
      <c r="L442" s="31">
        <f t="shared" si="19"/>
        <v>142</v>
      </c>
      <c r="M442" s="36">
        <f t="shared" si="20"/>
        <v>-118</v>
      </c>
    </row>
    <row r="443" spans="2:13">
      <c r="B443" s="16" t="s">
        <v>941</v>
      </c>
      <c r="C443" s="16" t="s">
        <v>1662</v>
      </c>
      <c r="D443" s="17">
        <v>44753</v>
      </c>
      <c r="E443" s="16" t="s">
        <v>1683</v>
      </c>
      <c r="F443" s="16" t="s">
        <v>1682</v>
      </c>
      <c r="G443" s="32">
        <v>250</v>
      </c>
      <c r="H443" s="16" t="s">
        <v>32</v>
      </c>
      <c r="I443" s="18">
        <v>3</v>
      </c>
      <c r="J443" s="19">
        <v>0.45514828780898198</v>
      </c>
      <c r="K443" s="32">
        <f t="shared" si="18"/>
        <v>750</v>
      </c>
      <c r="L443" s="32">
        <f t="shared" si="19"/>
        <v>409</v>
      </c>
      <c r="M443" s="37">
        <f t="shared" si="20"/>
        <v>-341</v>
      </c>
    </row>
    <row r="444" spans="2:13">
      <c r="B444" s="12" t="s">
        <v>943</v>
      </c>
      <c r="C444" s="12" t="s">
        <v>1664</v>
      </c>
      <c r="D444" s="13">
        <v>44762</v>
      </c>
      <c r="E444" s="12" t="s">
        <v>1684</v>
      </c>
      <c r="F444" s="12" t="s">
        <v>1680</v>
      </c>
      <c r="G444" s="31">
        <v>130</v>
      </c>
      <c r="H444" s="12" t="s">
        <v>21</v>
      </c>
      <c r="I444" s="14">
        <v>2</v>
      </c>
      <c r="J444" s="15">
        <v>0.30126486834826399</v>
      </c>
      <c r="K444" s="31">
        <f t="shared" si="18"/>
        <v>260</v>
      </c>
      <c r="L444" s="31">
        <f t="shared" si="19"/>
        <v>182</v>
      </c>
      <c r="M444" s="36">
        <f t="shared" si="20"/>
        <v>-78</v>
      </c>
    </row>
    <row r="445" spans="2:13">
      <c r="B445" s="16" t="s">
        <v>945</v>
      </c>
      <c r="C445" s="16" t="s">
        <v>1666</v>
      </c>
      <c r="D445" s="17">
        <v>44740</v>
      </c>
      <c r="E445" s="16" t="s">
        <v>1685</v>
      </c>
      <c r="F445" s="16" t="s">
        <v>1682</v>
      </c>
      <c r="G445" s="32">
        <v>60</v>
      </c>
      <c r="H445" s="16" t="s">
        <v>26</v>
      </c>
      <c r="I445" s="18">
        <v>4</v>
      </c>
      <c r="J445" s="19">
        <v>0.22886312078587401</v>
      </c>
      <c r="K445" s="32">
        <f t="shared" si="18"/>
        <v>240</v>
      </c>
      <c r="L445" s="32">
        <f t="shared" si="19"/>
        <v>185</v>
      </c>
      <c r="M445" s="37">
        <f t="shared" si="20"/>
        <v>-55</v>
      </c>
    </row>
    <row r="446" spans="2:13">
      <c r="B446" s="12" t="s">
        <v>947</v>
      </c>
      <c r="C446" s="12" t="s">
        <v>1668</v>
      </c>
      <c r="D446" s="13">
        <v>44729</v>
      </c>
      <c r="E446" s="12" t="s">
        <v>1679</v>
      </c>
      <c r="F446" s="12" t="s">
        <v>1680</v>
      </c>
      <c r="G446" s="31">
        <v>72</v>
      </c>
      <c r="H446" s="12" t="s">
        <v>32</v>
      </c>
      <c r="I446" s="14">
        <v>4</v>
      </c>
      <c r="J446" s="15">
        <v>0.488558790209001</v>
      </c>
      <c r="K446" s="31">
        <f t="shared" si="18"/>
        <v>288</v>
      </c>
      <c r="L446" s="31">
        <f t="shared" si="19"/>
        <v>147</v>
      </c>
      <c r="M446" s="36">
        <f t="shared" si="20"/>
        <v>-141</v>
      </c>
    </row>
    <row r="447" spans="2:13">
      <c r="B447" s="16" t="s">
        <v>949</v>
      </c>
      <c r="C447" s="16" t="s">
        <v>1660</v>
      </c>
      <c r="D447" s="17">
        <v>44727</v>
      </c>
      <c r="E447" s="16" t="s">
        <v>1681</v>
      </c>
      <c r="F447" s="16" t="s">
        <v>1682</v>
      </c>
      <c r="G447" s="32">
        <v>65</v>
      </c>
      <c r="H447" s="16" t="s">
        <v>21</v>
      </c>
      <c r="I447" s="18">
        <v>7</v>
      </c>
      <c r="J447" s="19">
        <v>0.88301012782394905</v>
      </c>
      <c r="K447" s="32">
        <f t="shared" si="18"/>
        <v>455</v>
      </c>
      <c r="L447" s="32">
        <f t="shared" si="19"/>
        <v>53</v>
      </c>
      <c r="M447" s="37">
        <f t="shared" si="20"/>
        <v>-402</v>
      </c>
    </row>
    <row r="448" spans="2:13">
      <c r="B448" s="12" t="s">
        <v>951</v>
      </c>
      <c r="C448" s="12" t="s">
        <v>1662</v>
      </c>
      <c r="D448" s="13">
        <v>44734</v>
      </c>
      <c r="E448" s="12" t="s">
        <v>1683</v>
      </c>
      <c r="F448" s="12" t="s">
        <v>1680</v>
      </c>
      <c r="G448" s="31">
        <v>250</v>
      </c>
      <c r="H448" s="12" t="s">
        <v>26</v>
      </c>
      <c r="I448" s="14">
        <v>2</v>
      </c>
      <c r="J448" s="15">
        <v>0.30705024398286201</v>
      </c>
      <c r="K448" s="31">
        <f t="shared" si="18"/>
        <v>500</v>
      </c>
      <c r="L448" s="31">
        <f t="shared" si="19"/>
        <v>346</v>
      </c>
      <c r="M448" s="36">
        <f t="shared" si="20"/>
        <v>-154</v>
      </c>
    </row>
    <row r="449" spans="2:13">
      <c r="B449" s="16" t="s">
        <v>953</v>
      </c>
      <c r="C449" s="16" t="s">
        <v>1664</v>
      </c>
      <c r="D449" s="17">
        <v>44744</v>
      </c>
      <c r="E449" s="16" t="s">
        <v>1684</v>
      </c>
      <c r="F449" s="16" t="s">
        <v>1682</v>
      </c>
      <c r="G449" s="32">
        <v>130</v>
      </c>
      <c r="H449" s="16" t="s">
        <v>32</v>
      </c>
      <c r="I449" s="18">
        <v>6</v>
      </c>
      <c r="J449" s="19">
        <v>0.85704939563753502</v>
      </c>
      <c r="K449" s="32">
        <f t="shared" si="18"/>
        <v>780</v>
      </c>
      <c r="L449" s="32">
        <f t="shared" si="19"/>
        <v>112</v>
      </c>
      <c r="M449" s="37">
        <f t="shared" si="20"/>
        <v>-668</v>
      </c>
    </row>
    <row r="450" spans="2:13">
      <c r="B450" s="12" t="s">
        <v>955</v>
      </c>
      <c r="C450" s="12" t="s">
        <v>1666</v>
      </c>
      <c r="D450" s="13">
        <v>44737</v>
      </c>
      <c r="E450" s="12" t="s">
        <v>1679</v>
      </c>
      <c r="F450" s="12" t="s">
        <v>1680</v>
      </c>
      <c r="G450" s="31">
        <v>72</v>
      </c>
      <c r="H450" s="12" t="s">
        <v>21</v>
      </c>
      <c r="I450" s="14">
        <v>9</v>
      </c>
      <c r="J450" s="15">
        <v>0.29159802445516297</v>
      </c>
      <c r="K450" s="31">
        <f t="shared" si="18"/>
        <v>648</v>
      </c>
      <c r="L450" s="31">
        <f t="shared" si="19"/>
        <v>459</v>
      </c>
      <c r="M450" s="36">
        <f t="shared" si="20"/>
        <v>-189</v>
      </c>
    </row>
    <row r="451" spans="2:13">
      <c r="B451" s="16" t="s">
        <v>957</v>
      </c>
      <c r="C451" s="16" t="s">
        <v>1660</v>
      </c>
      <c r="D451" s="17">
        <v>44752</v>
      </c>
      <c r="E451" s="16" t="s">
        <v>1681</v>
      </c>
      <c r="F451" s="16" t="s">
        <v>1682</v>
      </c>
      <c r="G451" s="32">
        <v>65</v>
      </c>
      <c r="H451" s="16" t="s">
        <v>26</v>
      </c>
      <c r="I451" s="18">
        <v>9</v>
      </c>
      <c r="J451" s="19">
        <v>0.25894456832851598</v>
      </c>
      <c r="K451" s="32">
        <f t="shared" si="18"/>
        <v>585</v>
      </c>
      <c r="L451" s="32">
        <f t="shared" si="19"/>
        <v>434</v>
      </c>
      <c r="M451" s="37">
        <f t="shared" si="20"/>
        <v>-151</v>
      </c>
    </row>
    <row r="452" spans="2:13">
      <c r="B452" s="12" t="s">
        <v>959</v>
      </c>
      <c r="C452" s="12" t="s">
        <v>1662</v>
      </c>
      <c r="D452" s="13">
        <v>44736</v>
      </c>
      <c r="E452" s="12" t="s">
        <v>1683</v>
      </c>
      <c r="F452" s="12" t="s">
        <v>1680</v>
      </c>
      <c r="G452" s="31">
        <v>250</v>
      </c>
      <c r="H452" s="12" t="s">
        <v>32</v>
      </c>
      <c r="I452" s="14">
        <v>2</v>
      </c>
      <c r="J452" s="15">
        <v>0.29542099486811402</v>
      </c>
      <c r="K452" s="31">
        <f t="shared" si="18"/>
        <v>500</v>
      </c>
      <c r="L452" s="31">
        <f t="shared" si="19"/>
        <v>352</v>
      </c>
      <c r="M452" s="36">
        <f t="shared" si="20"/>
        <v>-148</v>
      </c>
    </row>
    <row r="453" spans="2:13">
      <c r="B453" s="16" t="s">
        <v>961</v>
      </c>
      <c r="C453" s="16" t="s">
        <v>1664</v>
      </c>
      <c r="D453" s="17">
        <v>44752</v>
      </c>
      <c r="E453" s="16" t="s">
        <v>1684</v>
      </c>
      <c r="F453" s="16" t="s">
        <v>1682</v>
      </c>
      <c r="G453" s="32">
        <v>130</v>
      </c>
      <c r="H453" s="16" t="s">
        <v>21</v>
      </c>
      <c r="I453" s="18">
        <v>2</v>
      </c>
      <c r="J453" s="19">
        <v>7.4202009604402999E-2</v>
      </c>
      <c r="K453" s="32">
        <f t="shared" si="18"/>
        <v>260</v>
      </c>
      <c r="L453" s="32">
        <f t="shared" si="19"/>
        <v>241</v>
      </c>
      <c r="M453" s="37">
        <f t="shared" si="20"/>
        <v>-19</v>
      </c>
    </row>
    <row r="454" spans="2:13">
      <c r="B454" s="12" t="s">
        <v>963</v>
      </c>
      <c r="C454" s="12" t="s">
        <v>1666</v>
      </c>
      <c r="D454" s="13">
        <v>44759</v>
      </c>
      <c r="E454" s="12" t="s">
        <v>1685</v>
      </c>
      <c r="F454" s="12" t="s">
        <v>1680</v>
      </c>
      <c r="G454" s="31">
        <v>60</v>
      </c>
      <c r="H454" s="12" t="s">
        <v>26</v>
      </c>
      <c r="I454" s="14">
        <v>11</v>
      </c>
      <c r="J454" s="15">
        <v>3.9067003401354397E-2</v>
      </c>
      <c r="K454" s="31">
        <f t="shared" ref="K454:K517" si="21">PRODUCT(I454,G454)</f>
        <v>660</v>
      </c>
      <c r="L454" s="31">
        <f t="shared" ref="L454:L517" si="22">ROUND(K454*(1-J454),0)</f>
        <v>634</v>
      </c>
      <c r="M454" s="36">
        <f t="shared" si="20"/>
        <v>-26</v>
      </c>
    </row>
    <row r="455" spans="2:13">
      <c r="B455" s="16" t="s">
        <v>965</v>
      </c>
      <c r="C455" s="16" t="s">
        <v>1668</v>
      </c>
      <c r="D455" s="17">
        <v>44763</v>
      </c>
      <c r="E455" s="16" t="s">
        <v>1686</v>
      </c>
      <c r="F455" s="16" t="s">
        <v>1682</v>
      </c>
      <c r="G455" s="32">
        <v>95</v>
      </c>
      <c r="H455" s="16" t="s">
        <v>32</v>
      </c>
      <c r="I455" s="18">
        <v>4</v>
      </c>
      <c r="J455" s="19">
        <v>0.76468504660372305</v>
      </c>
      <c r="K455" s="32">
        <f t="shared" si="21"/>
        <v>380</v>
      </c>
      <c r="L455" s="32">
        <f t="shared" si="22"/>
        <v>89</v>
      </c>
      <c r="M455" s="37">
        <f t="shared" ref="M455:M518" si="23">ROUND(L455-K455,0)</f>
        <v>-291</v>
      </c>
    </row>
    <row r="456" spans="2:13">
      <c r="B456" s="12" t="s">
        <v>967</v>
      </c>
      <c r="C456" s="12" t="s">
        <v>1669</v>
      </c>
      <c r="D456" s="13">
        <v>44763</v>
      </c>
      <c r="E456" s="12" t="s">
        <v>1679</v>
      </c>
      <c r="F456" s="12" t="s">
        <v>1680</v>
      </c>
      <c r="G456" s="31">
        <v>72</v>
      </c>
      <c r="H456" s="12" t="s">
        <v>21</v>
      </c>
      <c r="I456" s="14">
        <v>11</v>
      </c>
      <c r="J456" s="15">
        <v>0.74867480539232101</v>
      </c>
      <c r="K456" s="31">
        <f t="shared" si="21"/>
        <v>792</v>
      </c>
      <c r="L456" s="31">
        <f t="shared" si="22"/>
        <v>199</v>
      </c>
      <c r="M456" s="36">
        <f t="shared" si="23"/>
        <v>-593</v>
      </c>
    </row>
    <row r="457" spans="2:13">
      <c r="B457" s="16" t="s">
        <v>969</v>
      </c>
      <c r="C457" s="16" t="s">
        <v>1660</v>
      </c>
      <c r="D457" s="17">
        <v>44750</v>
      </c>
      <c r="E457" s="16" t="s">
        <v>1681</v>
      </c>
      <c r="F457" s="16" t="s">
        <v>1682</v>
      </c>
      <c r="G457" s="32">
        <v>65</v>
      </c>
      <c r="H457" s="16" t="s">
        <v>26</v>
      </c>
      <c r="I457" s="18">
        <v>6</v>
      </c>
      <c r="J457" s="19">
        <v>0.69300939202757095</v>
      </c>
      <c r="K457" s="32">
        <f t="shared" si="21"/>
        <v>390</v>
      </c>
      <c r="L457" s="32">
        <f t="shared" si="22"/>
        <v>120</v>
      </c>
      <c r="M457" s="37">
        <f t="shared" si="23"/>
        <v>-270</v>
      </c>
    </row>
    <row r="458" spans="2:13">
      <c r="B458" s="12" t="s">
        <v>971</v>
      </c>
      <c r="C458" s="12" t="s">
        <v>1662</v>
      </c>
      <c r="D458" s="13">
        <v>44751</v>
      </c>
      <c r="E458" s="12" t="s">
        <v>1683</v>
      </c>
      <c r="F458" s="12" t="s">
        <v>1680</v>
      </c>
      <c r="G458" s="31">
        <v>250</v>
      </c>
      <c r="H458" s="12" t="s">
        <v>32</v>
      </c>
      <c r="I458" s="14">
        <v>1</v>
      </c>
      <c r="J458" s="15">
        <v>0.52937391222103702</v>
      </c>
      <c r="K458" s="31">
        <f t="shared" si="21"/>
        <v>250</v>
      </c>
      <c r="L458" s="31">
        <f t="shared" si="22"/>
        <v>118</v>
      </c>
      <c r="M458" s="36">
        <f t="shared" si="23"/>
        <v>-132</v>
      </c>
    </row>
    <row r="459" spans="2:13">
      <c r="B459" s="16" t="s">
        <v>973</v>
      </c>
      <c r="C459" s="16" t="s">
        <v>1664</v>
      </c>
      <c r="D459" s="17">
        <v>44736</v>
      </c>
      <c r="E459" s="16" t="s">
        <v>1684</v>
      </c>
      <c r="F459" s="16" t="s">
        <v>1682</v>
      </c>
      <c r="G459" s="32">
        <v>130</v>
      </c>
      <c r="H459" s="16" t="s">
        <v>21</v>
      </c>
      <c r="I459" s="18">
        <v>3</v>
      </c>
      <c r="J459" s="19">
        <v>0.32413514859934101</v>
      </c>
      <c r="K459" s="32">
        <f t="shared" si="21"/>
        <v>390</v>
      </c>
      <c r="L459" s="32">
        <f t="shared" si="22"/>
        <v>264</v>
      </c>
      <c r="M459" s="37">
        <f t="shared" si="23"/>
        <v>-126</v>
      </c>
    </row>
    <row r="460" spans="2:13">
      <c r="B460" s="12" t="s">
        <v>975</v>
      </c>
      <c r="C460" s="12" t="s">
        <v>1666</v>
      </c>
      <c r="D460" s="13">
        <v>44737</v>
      </c>
      <c r="E460" s="12" t="s">
        <v>1679</v>
      </c>
      <c r="F460" s="12" t="s">
        <v>1682</v>
      </c>
      <c r="G460" s="31">
        <v>72</v>
      </c>
      <c r="H460" s="12" t="s">
        <v>26</v>
      </c>
      <c r="I460" s="14">
        <v>4</v>
      </c>
      <c r="J460" s="15">
        <v>0.35907775149399701</v>
      </c>
      <c r="K460" s="31">
        <f t="shared" si="21"/>
        <v>288</v>
      </c>
      <c r="L460" s="31">
        <f t="shared" si="22"/>
        <v>185</v>
      </c>
      <c r="M460" s="36">
        <f t="shared" si="23"/>
        <v>-103</v>
      </c>
    </row>
    <row r="461" spans="2:13">
      <c r="B461" s="16" t="s">
        <v>977</v>
      </c>
      <c r="C461" s="16" t="s">
        <v>1660</v>
      </c>
      <c r="D461" s="17">
        <v>44744</v>
      </c>
      <c r="E461" s="16" t="s">
        <v>1681</v>
      </c>
      <c r="F461" s="16" t="s">
        <v>1682</v>
      </c>
      <c r="G461" s="32">
        <v>65</v>
      </c>
      <c r="H461" s="16" t="s">
        <v>32</v>
      </c>
      <c r="I461" s="18">
        <v>6</v>
      </c>
      <c r="J461" s="19">
        <v>0.65908590258865696</v>
      </c>
      <c r="K461" s="32">
        <f t="shared" si="21"/>
        <v>390</v>
      </c>
      <c r="L461" s="32">
        <f t="shared" si="22"/>
        <v>133</v>
      </c>
      <c r="M461" s="37">
        <f t="shared" si="23"/>
        <v>-257</v>
      </c>
    </row>
    <row r="462" spans="2:13">
      <c r="B462" s="12" t="s">
        <v>979</v>
      </c>
      <c r="C462" s="12" t="s">
        <v>1662</v>
      </c>
      <c r="D462" s="13">
        <v>44735</v>
      </c>
      <c r="E462" s="12" t="s">
        <v>1683</v>
      </c>
      <c r="F462" s="12" t="s">
        <v>1682</v>
      </c>
      <c r="G462" s="31">
        <v>250</v>
      </c>
      <c r="H462" s="12" t="s">
        <v>21</v>
      </c>
      <c r="I462" s="14">
        <v>2</v>
      </c>
      <c r="J462" s="15">
        <v>0.51385178684784005</v>
      </c>
      <c r="K462" s="31">
        <f t="shared" si="21"/>
        <v>500</v>
      </c>
      <c r="L462" s="31">
        <f t="shared" si="22"/>
        <v>243</v>
      </c>
      <c r="M462" s="36">
        <f t="shared" si="23"/>
        <v>-257</v>
      </c>
    </row>
    <row r="463" spans="2:13">
      <c r="B463" s="16" t="s">
        <v>981</v>
      </c>
      <c r="C463" s="16" t="s">
        <v>1664</v>
      </c>
      <c r="D463" s="17">
        <v>44751</v>
      </c>
      <c r="E463" s="16" t="s">
        <v>1684</v>
      </c>
      <c r="F463" s="16" t="s">
        <v>1682</v>
      </c>
      <c r="G463" s="32">
        <v>130</v>
      </c>
      <c r="H463" s="16" t="s">
        <v>26</v>
      </c>
      <c r="I463" s="18">
        <v>4</v>
      </c>
      <c r="J463" s="19">
        <v>0.76665009072072698</v>
      </c>
      <c r="K463" s="32">
        <f t="shared" si="21"/>
        <v>520</v>
      </c>
      <c r="L463" s="32">
        <f t="shared" si="22"/>
        <v>121</v>
      </c>
      <c r="M463" s="37">
        <f t="shared" si="23"/>
        <v>-399</v>
      </c>
    </row>
    <row r="464" spans="2:13">
      <c r="B464" s="12" t="s">
        <v>983</v>
      </c>
      <c r="C464" s="12" t="s">
        <v>1666</v>
      </c>
      <c r="D464" s="13">
        <v>44726</v>
      </c>
      <c r="E464" s="12" t="s">
        <v>1679</v>
      </c>
      <c r="F464" s="12" t="s">
        <v>1680</v>
      </c>
      <c r="G464" s="31">
        <v>72</v>
      </c>
      <c r="H464" s="12" t="s">
        <v>32</v>
      </c>
      <c r="I464" s="14">
        <v>5</v>
      </c>
      <c r="J464" s="15">
        <v>0.73529214203054105</v>
      </c>
      <c r="K464" s="31">
        <f t="shared" si="21"/>
        <v>360</v>
      </c>
      <c r="L464" s="31">
        <f t="shared" si="22"/>
        <v>95</v>
      </c>
      <c r="M464" s="36">
        <f t="shared" si="23"/>
        <v>-265</v>
      </c>
    </row>
    <row r="465" spans="2:13">
      <c r="B465" s="16" t="s">
        <v>985</v>
      </c>
      <c r="C465" s="16" t="s">
        <v>1660</v>
      </c>
      <c r="D465" s="17">
        <v>44749</v>
      </c>
      <c r="E465" s="16" t="s">
        <v>1681</v>
      </c>
      <c r="F465" s="16" t="s">
        <v>1682</v>
      </c>
      <c r="G465" s="32">
        <v>65</v>
      </c>
      <c r="H465" s="16" t="s">
        <v>21</v>
      </c>
      <c r="I465" s="18">
        <v>9</v>
      </c>
      <c r="J465" s="19">
        <v>0.44567996518569503</v>
      </c>
      <c r="K465" s="32">
        <f t="shared" si="21"/>
        <v>585</v>
      </c>
      <c r="L465" s="32">
        <f t="shared" si="22"/>
        <v>324</v>
      </c>
      <c r="M465" s="37">
        <f t="shared" si="23"/>
        <v>-261</v>
      </c>
    </row>
    <row r="466" spans="2:13">
      <c r="B466" s="12" t="s">
        <v>987</v>
      </c>
      <c r="C466" s="12" t="s">
        <v>1662</v>
      </c>
      <c r="D466" s="13">
        <v>44734</v>
      </c>
      <c r="E466" s="12" t="s">
        <v>1683</v>
      </c>
      <c r="F466" s="12" t="s">
        <v>1680</v>
      </c>
      <c r="G466" s="31">
        <v>250</v>
      </c>
      <c r="H466" s="12" t="s">
        <v>21</v>
      </c>
      <c r="I466" s="14">
        <v>2</v>
      </c>
      <c r="J466" s="15">
        <v>0.80491760131950096</v>
      </c>
      <c r="K466" s="31">
        <f t="shared" si="21"/>
        <v>500</v>
      </c>
      <c r="L466" s="31">
        <f t="shared" si="22"/>
        <v>98</v>
      </c>
      <c r="M466" s="36">
        <f t="shared" si="23"/>
        <v>-402</v>
      </c>
    </row>
    <row r="467" spans="2:13">
      <c r="B467" s="16" t="s">
        <v>989</v>
      </c>
      <c r="C467" s="16" t="s">
        <v>1664</v>
      </c>
      <c r="D467" s="17">
        <v>44726</v>
      </c>
      <c r="E467" s="16" t="s">
        <v>1684</v>
      </c>
      <c r="F467" s="16" t="s">
        <v>1682</v>
      </c>
      <c r="G467" s="32">
        <v>130</v>
      </c>
      <c r="H467" s="16" t="s">
        <v>26</v>
      </c>
      <c r="I467" s="18">
        <v>4</v>
      </c>
      <c r="J467" s="19">
        <v>0.63252724233750601</v>
      </c>
      <c r="K467" s="32">
        <f t="shared" si="21"/>
        <v>520</v>
      </c>
      <c r="L467" s="32">
        <f t="shared" si="22"/>
        <v>191</v>
      </c>
      <c r="M467" s="37">
        <f t="shared" si="23"/>
        <v>-329</v>
      </c>
    </row>
    <row r="468" spans="2:13">
      <c r="B468" s="12" t="s">
        <v>991</v>
      </c>
      <c r="C468" s="12" t="s">
        <v>1666</v>
      </c>
      <c r="D468" s="13">
        <v>44743</v>
      </c>
      <c r="E468" s="12" t="s">
        <v>1679</v>
      </c>
      <c r="F468" s="12" t="s">
        <v>1680</v>
      </c>
      <c r="G468" s="31">
        <v>72</v>
      </c>
      <c r="H468" s="12" t="s">
        <v>32</v>
      </c>
      <c r="I468" s="14">
        <v>12</v>
      </c>
      <c r="J468" s="15">
        <v>0.54172415841062704</v>
      </c>
      <c r="K468" s="31">
        <f t="shared" si="21"/>
        <v>864</v>
      </c>
      <c r="L468" s="31">
        <f t="shared" si="22"/>
        <v>396</v>
      </c>
      <c r="M468" s="36">
        <f t="shared" si="23"/>
        <v>-468</v>
      </c>
    </row>
    <row r="469" spans="2:13">
      <c r="B469" s="16" t="s">
        <v>993</v>
      </c>
      <c r="C469" s="16" t="s">
        <v>1660</v>
      </c>
      <c r="D469" s="17">
        <v>44742</v>
      </c>
      <c r="E469" s="16" t="s">
        <v>1681</v>
      </c>
      <c r="F469" s="16" t="s">
        <v>1682</v>
      </c>
      <c r="G469" s="32">
        <v>65</v>
      </c>
      <c r="H469" s="16" t="s">
        <v>21</v>
      </c>
      <c r="I469" s="18">
        <v>11</v>
      </c>
      <c r="J469" s="19">
        <v>0.51449622999670697</v>
      </c>
      <c r="K469" s="32">
        <f t="shared" si="21"/>
        <v>715</v>
      </c>
      <c r="L469" s="32">
        <f t="shared" si="22"/>
        <v>347</v>
      </c>
      <c r="M469" s="37">
        <f t="shared" si="23"/>
        <v>-368</v>
      </c>
    </row>
    <row r="470" spans="2:13">
      <c r="B470" s="12" t="s">
        <v>995</v>
      </c>
      <c r="C470" s="12" t="s">
        <v>1662</v>
      </c>
      <c r="D470" s="13">
        <v>44747</v>
      </c>
      <c r="E470" s="12" t="s">
        <v>1683</v>
      </c>
      <c r="F470" s="12" t="s">
        <v>1680</v>
      </c>
      <c r="G470" s="31">
        <v>250</v>
      </c>
      <c r="H470" s="12" t="s">
        <v>26</v>
      </c>
      <c r="I470" s="14">
        <v>2</v>
      </c>
      <c r="J470" s="15">
        <v>0.237525028475187</v>
      </c>
      <c r="K470" s="31">
        <f t="shared" si="21"/>
        <v>500</v>
      </c>
      <c r="L470" s="31">
        <f t="shared" si="22"/>
        <v>381</v>
      </c>
      <c r="M470" s="36">
        <f t="shared" si="23"/>
        <v>-119</v>
      </c>
    </row>
    <row r="471" spans="2:13">
      <c r="B471" s="16" t="s">
        <v>997</v>
      </c>
      <c r="C471" s="16" t="s">
        <v>1664</v>
      </c>
      <c r="D471" s="17">
        <v>44764</v>
      </c>
      <c r="E471" s="16" t="s">
        <v>1684</v>
      </c>
      <c r="F471" s="16" t="s">
        <v>1682</v>
      </c>
      <c r="G471" s="32">
        <v>130</v>
      </c>
      <c r="H471" s="16" t="s">
        <v>32</v>
      </c>
      <c r="I471" s="18">
        <v>4</v>
      </c>
      <c r="J471" s="19">
        <v>0.99120610081358296</v>
      </c>
      <c r="K471" s="32">
        <f t="shared" si="21"/>
        <v>520</v>
      </c>
      <c r="L471" s="32">
        <f t="shared" si="22"/>
        <v>5</v>
      </c>
      <c r="M471" s="37">
        <f t="shared" si="23"/>
        <v>-515</v>
      </c>
    </row>
    <row r="472" spans="2:13">
      <c r="B472" s="12" t="s">
        <v>999</v>
      </c>
      <c r="C472" s="12" t="s">
        <v>1666</v>
      </c>
      <c r="D472" s="13">
        <v>44735</v>
      </c>
      <c r="E472" s="12" t="s">
        <v>1685</v>
      </c>
      <c r="F472" s="12" t="s">
        <v>1680</v>
      </c>
      <c r="G472" s="31">
        <v>60</v>
      </c>
      <c r="H472" s="12" t="s">
        <v>21</v>
      </c>
      <c r="I472" s="14">
        <v>9</v>
      </c>
      <c r="J472" s="15">
        <v>0.59705890981846599</v>
      </c>
      <c r="K472" s="31">
        <f t="shared" si="21"/>
        <v>540</v>
      </c>
      <c r="L472" s="31">
        <f t="shared" si="22"/>
        <v>218</v>
      </c>
      <c r="M472" s="36">
        <f t="shared" si="23"/>
        <v>-322</v>
      </c>
    </row>
    <row r="473" spans="2:13">
      <c r="B473" s="16" t="s">
        <v>1001</v>
      </c>
      <c r="C473" s="16" t="s">
        <v>1668</v>
      </c>
      <c r="D473" s="17">
        <v>44737</v>
      </c>
      <c r="E473" s="16" t="s">
        <v>1679</v>
      </c>
      <c r="F473" s="16" t="s">
        <v>1682</v>
      </c>
      <c r="G473" s="32">
        <v>72</v>
      </c>
      <c r="H473" s="16" t="s">
        <v>26</v>
      </c>
      <c r="I473" s="18">
        <v>3</v>
      </c>
      <c r="J473" s="19">
        <v>0.47137791834027598</v>
      </c>
      <c r="K473" s="32">
        <f t="shared" si="21"/>
        <v>216</v>
      </c>
      <c r="L473" s="32">
        <f t="shared" si="22"/>
        <v>114</v>
      </c>
      <c r="M473" s="37">
        <f t="shared" si="23"/>
        <v>-102</v>
      </c>
    </row>
    <row r="474" spans="2:13">
      <c r="B474" s="12" t="s">
        <v>1003</v>
      </c>
      <c r="C474" s="12" t="s">
        <v>1660</v>
      </c>
      <c r="D474" s="13">
        <v>44749</v>
      </c>
      <c r="E474" s="12" t="s">
        <v>1681</v>
      </c>
      <c r="F474" s="12" t="s">
        <v>1680</v>
      </c>
      <c r="G474" s="31">
        <v>65</v>
      </c>
      <c r="H474" s="12" t="s">
        <v>32</v>
      </c>
      <c r="I474" s="14">
        <v>14</v>
      </c>
      <c r="J474" s="15">
        <v>0.41181740780767401</v>
      </c>
      <c r="K474" s="31">
        <f t="shared" si="21"/>
        <v>910</v>
      </c>
      <c r="L474" s="31">
        <f t="shared" si="22"/>
        <v>535</v>
      </c>
      <c r="M474" s="36">
        <f t="shared" si="23"/>
        <v>-375</v>
      </c>
    </row>
    <row r="475" spans="2:13">
      <c r="B475" s="16" t="s">
        <v>1005</v>
      </c>
      <c r="C475" s="16" t="s">
        <v>1662</v>
      </c>
      <c r="D475" s="17">
        <v>44729</v>
      </c>
      <c r="E475" s="16" t="s">
        <v>1683</v>
      </c>
      <c r="F475" s="16" t="s">
        <v>1682</v>
      </c>
      <c r="G475" s="32">
        <v>250</v>
      </c>
      <c r="H475" s="16" t="s">
        <v>21</v>
      </c>
      <c r="I475" s="18">
        <v>3</v>
      </c>
      <c r="J475" s="19">
        <v>7.2014892327985205E-2</v>
      </c>
      <c r="K475" s="32">
        <f t="shared" si="21"/>
        <v>750</v>
      </c>
      <c r="L475" s="32">
        <f t="shared" si="22"/>
        <v>696</v>
      </c>
      <c r="M475" s="37">
        <f t="shared" si="23"/>
        <v>-54</v>
      </c>
    </row>
    <row r="476" spans="2:13">
      <c r="B476" s="12" t="s">
        <v>1007</v>
      </c>
      <c r="C476" s="12" t="s">
        <v>1664</v>
      </c>
      <c r="D476" s="13">
        <v>44738</v>
      </c>
      <c r="E476" s="12" t="s">
        <v>1684</v>
      </c>
      <c r="F476" s="12" t="s">
        <v>1680</v>
      </c>
      <c r="G476" s="31">
        <v>130</v>
      </c>
      <c r="H476" s="12" t="s">
        <v>26</v>
      </c>
      <c r="I476" s="14">
        <v>7</v>
      </c>
      <c r="J476" s="15">
        <v>0.284252285929809</v>
      </c>
      <c r="K476" s="31">
        <f t="shared" si="21"/>
        <v>910</v>
      </c>
      <c r="L476" s="31">
        <f t="shared" si="22"/>
        <v>651</v>
      </c>
      <c r="M476" s="36">
        <f t="shared" si="23"/>
        <v>-259</v>
      </c>
    </row>
    <row r="477" spans="2:13">
      <c r="B477" s="16" t="s">
        <v>1009</v>
      </c>
      <c r="C477" s="16" t="s">
        <v>1666</v>
      </c>
      <c r="D477" s="17">
        <v>44740</v>
      </c>
      <c r="E477" s="16" t="s">
        <v>1679</v>
      </c>
      <c r="F477" s="16" t="s">
        <v>1682</v>
      </c>
      <c r="G477" s="32">
        <v>72</v>
      </c>
      <c r="H477" s="16" t="s">
        <v>32</v>
      </c>
      <c r="I477" s="18">
        <v>3</v>
      </c>
      <c r="J477" s="19">
        <v>0.514736362789603</v>
      </c>
      <c r="K477" s="32">
        <f t="shared" si="21"/>
        <v>216</v>
      </c>
      <c r="L477" s="32">
        <f t="shared" si="22"/>
        <v>105</v>
      </c>
      <c r="M477" s="37">
        <f t="shared" si="23"/>
        <v>-111</v>
      </c>
    </row>
    <row r="478" spans="2:13">
      <c r="B478" s="12" t="s">
        <v>1011</v>
      </c>
      <c r="C478" s="12" t="s">
        <v>1660</v>
      </c>
      <c r="D478" s="13">
        <v>44755</v>
      </c>
      <c r="E478" s="12" t="s">
        <v>1681</v>
      </c>
      <c r="F478" s="12" t="s">
        <v>1680</v>
      </c>
      <c r="G478" s="31">
        <v>65</v>
      </c>
      <c r="H478" s="12" t="s">
        <v>21</v>
      </c>
      <c r="I478" s="14">
        <v>7</v>
      </c>
      <c r="J478" s="15">
        <v>0.84360853679959802</v>
      </c>
      <c r="K478" s="31">
        <f t="shared" si="21"/>
        <v>455</v>
      </c>
      <c r="L478" s="31">
        <f t="shared" si="22"/>
        <v>71</v>
      </c>
      <c r="M478" s="36">
        <f t="shared" si="23"/>
        <v>-384</v>
      </c>
    </row>
    <row r="479" spans="2:13">
      <c r="B479" s="16" t="s">
        <v>1013</v>
      </c>
      <c r="C479" s="16" t="s">
        <v>1662</v>
      </c>
      <c r="D479" s="17">
        <v>44755</v>
      </c>
      <c r="E479" s="16" t="s">
        <v>1683</v>
      </c>
      <c r="F479" s="16" t="s">
        <v>1682</v>
      </c>
      <c r="G479" s="32">
        <v>250</v>
      </c>
      <c r="H479" s="16" t="s">
        <v>26</v>
      </c>
      <c r="I479" s="18">
        <v>3</v>
      </c>
      <c r="J479" s="19">
        <v>0.79410595242208204</v>
      </c>
      <c r="K479" s="32">
        <f t="shared" si="21"/>
        <v>750</v>
      </c>
      <c r="L479" s="32">
        <f t="shared" si="22"/>
        <v>154</v>
      </c>
      <c r="M479" s="37">
        <f t="shared" si="23"/>
        <v>-596</v>
      </c>
    </row>
    <row r="480" spans="2:13">
      <c r="B480" s="12" t="s">
        <v>1015</v>
      </c>
      <c r="C480" s="12" t="s">
        <v>1664</v>
      </c>
      <c r="D480" s="13">
        <v>44764</v>
      </c>
      <c r="E480" s="12" t="s">
        <v>1684</v>
      </c>
      <c r="F480" s="12" t="s">
        <v>1680</v>
      </c>
      <c r="G480" s="31">
        <v>130</v>
      </c>
      <c r="H480" s="12" t="s">
        <v>32</v>
      </c>
      <c r="I480" s="14">
        <v>4</v>
      </c>
      <c r="J480" s="15">
        <v>0.43743103077150802</v>
      </c>
      <c r="K480" s="31">
        <f t="shared" si="21"/>
        <v>520</v>
      </c>
      <c r="L480" s="31">
        <f t="shared" si="22"/>
        <v>293</v>
      </c>
      <c r="M480" s="36">
        <f t="shared" si="23"/>
        <v>-227</v>
      </c>
    </row>
    <row r="481" spans="2:13">
      <c r="B481" s="16" t="s">
        <v>1017</v>
      </c>
      <c r="C481" s="16" t="s">
        <v>1666</v>
      </c>
      <c r="D481" s="17">
        <v>44735</v>
      </c>
      <c r="E481" s="16" t="s">
        <v>1685</v>
      </c>
      <c r="F481" s="16" t="s">
        <v>1682</v>
      </c>
      <c r="G481" s="32">
        <v>60</v>
      </c>
      <c r="H481" s="16" t="s">
        <v>21</v>
      </c>
      <c r="I481" s="18">
        <v>7</v>
      </c>
      <c r="J481" s="19">
        <v>0.62414285851347795</v>
      </c>
      <c r="K481" s="32">
        <f t="shared" si="21"/>
        <v>420</v>
      </c>
      <c r="L481" s="32">
        <f t="shared" si="22"/>
        <v>158</v>
      </c>
      <c r="M481" s="37">
        <f t="shared" si="23"/>
        <v>-262</v>
      </c>
    </row>
    <row r="482" spans="2:13">
      <c r="B482" s="12" t="s">
        <v>1019</v>
      </c>
      <c r="C482" s="12" t="s">
        <v>1668</v>
      </c>
      <c r="D482" s="13">
        <v>44734</v>
      </c>
      <c r="E482" s="12" t="s">
        <v>1686</v>
      </c>
      <c r="F482" s="12" t="s">
        <v>1682</v>
      </c>
      <c r="G482" s="31">
        <v>95</v>
      </c>
      <c r="H482" s="12" t="s">
        <v>26</v>
      </c>
      <c r="I482" s="14">
        <v>4</v>
      </c>
      <c r="J482" s="15">
        <v>0.88664559134767995</v>
      </c>
      <c r="K482" s="31">
        <f t="shared" si="21"/>
        <v>380</v>
      </c>
      <c r="L482" s="31">
        <f t="shared" si="22"/>
        <v>43</v>
      </c>
      <c r="M482" s="36">
        <f t="shared" si="23"/>
        <v>-337</v>
      </c>
    </row>
    <row r="483" spans="2:13">
      <c r="B483" s="16" t="s">
        <v>1021</v>
      </c>
      <c r="C483" s="16" t="s">
        <v>1669</v>
      </c>
      <c r="D483" s="17">
        <v>44728</v>
      </c>
      <c r="E483" s="16" t="s">
        <v>1679</v>
      </c>
      <c r="F483" s="16" t="s">
        <v>1682</v>
      </c>
      <c r="G483" s="32">
        <v>72</v>
      </c>
      <c r="H483" s="16" t="s">
        <v>32</v>
      </c>
      <c r="I483" s="18">
        <v>6</v>
      </c>
      <c r="J483" s="19">
        <v>0.18359273290431599</v>
      </c>
      <c r="K483" s="32">
        <f t="shared" si="21"/>
        <v>432</v>
      </c>
      <c r="L483" s="32">
        <f t="shared" si="22"/>
        <v>353</v>
      </c>
      <c r="M483" s="37">
        <f t="shared" si="23"/>
        <v>-79</v>
      </c>
    </row>
    <row r="484" spans="2:13">
      <c r="B484" s="12" t="s">
        <v>1023</v>
      </c>
      <c r="C484" s="12" t="s">
        <v>1660</v>
      </c>
      <c r="D484" s="13">
        <v>44739</v>
      </c>
      <c r="E484" s="12" t="s">
        <v>1681</v>
      </c>
      <c r="F484" s="12" t="s">
        <v>1682</v>
      </c>
      <c r="G484" s="31">
        <v>65</v>
      </c>
      <c r="H484" s="12" t="s">
        <v>21</v>
      </c>
      <c r="I484" s="14">
        <v>5</v>
      </c>
      <c r="J484" s="15">
        <v>0.15906506531321701</v>
      </c>
      <c r="K484" s="31">
        <f t="shared" si="21"/>
        <v>325</v>
      </c>
      <c r="L484" s="31">
        <f t="shared" si="22"/>
        <v>273</v>
      </c>
      <c r="M484" s="36">
        <f t="shared" si="23"/>
        <v>-52</v>
      </c>
    </row>
    <row r="485" spans="2:13">
      <c r="B485" s="16" t="s">
        <v>1025</v>
      </c>
      <c r="C485" s="16" t="s">
        <v>1662</v>
      </c>
      <c r="D485" s="17">
        <v>44765</v>
      </c>
      <c r="E485" s="16" t="s">
        <v>1683</v>
      </c>
      <c r="F485" s="16" t="s">
        <v>1682</v>
      </c>
      <c r="G485" s="32">
        <v>250</v>
      </c>
      <c r="H485" s="16" t="s">
        <v>26</v>
      </c>
      <c r="I485" s="18">
        <v>2</v>
      </c>
      <c r="J485" s="19">
        <v>0.29466747014106198</v>
      </c>
      <c r="K485" s="32">
        <f t="shared" si="21"/>
        <v>500</v>
      </c>
      <c r="L485" s="32">
        <f t="shared" si="22"/>
        <v>353</v>
      </c>
      <c r="M485" s="37">
        <f t="shared" si="23"/>
        <v>-147</v>
      </c>
    </row>
    <row r="486" spans="2:13">
      <c r="B486" s="12" t="s">
        <v>1027</v>
      </c>
      <c r="C486" s="12" t="s">
        <v>1664</v>
      </c>
      <c r="D486" s="13">
        <v>44740</v>
      </c>
      <c r="E486" s="12" t="s">
        <v>1684</v>
      </c>
      <c r="F486" s="12" t="s">
        <v>1680</v>
      </c>
      <c r="G486" s="31">
        <v>130</v>
      </c>
      <c r="H486" s="12" t="s">
        <v>32</v>
      </c>
      <c r="I486" s="14">
        <v>2</v>
      </c>
      <c r="J486" s="15">
        <v>0.35414118605930101</v>
      </c>
      <c r="K486" s="31">
        <f t="shared" si="21"/>
        <v>260</v>
      </c>
      <c r="L486" s="31">
        <f t="shared" si="22"/>
        <v>168</v>
      </c>
      <c r="M486" s="36">
        <f t="shared" si="23"/>
        <v>-92</v>
      </c>
    </row>
    <row r="487" spans="2:13">
      <c r="B487" s="16" t="s">
        <v>1029</v>
      </c>
      <c r="C487" s="16" t="s">
        <v>1666</v>
      </c>
      <c r="D487" s="17">
        <v>44734</v>
      </c>
      <c r="E487" s="16" t="s">
        <v>1679</v>
      </c>
      <c r="F487" s="16" t="s">
        <v>1682</v>
      </c>
      <c r="G487" s="32">
        <v>72</v>
      </c>
      <c r="H487" s="16" t="s">
        <v>21</v>
      </c>
      <c r="I487" s="18">
        <v>4</v>
      </c>
      <c r="J487" s="19">
        <v>0.40463831594750699</v>
      </c>
      <c r="K487" s="32">
        <f t="shared" si="21"/>
        <v>288</v>
      </c>
      <c r="L487" s="32">
        <f t="shared" si="22"/>
        <v>171</v>
      </c>
      <c r="M487" s="37">
        <f t="shared" si="23"/>
        <v>-117</v>
      </c>
    </row>
    <row r="488" spans="2:13">
      <c r="B488" s="12" t="s">
        <v>1031</v>
      </c>
      <c r="C488" s="12" t="s">
        <v>1660</v>
      </c>
      <c r="D488" s="13">
        <v>44727</v>
      </c>
      <c r="E488" s="12" t="s">
        <v>1681</v>
      </c>
      <c r="F488" s="12" t="s">
        <v>1680</v>
      </c>
      <c r="G488" s="31">
        <v>65</v>
      </c>
      <c r="H488" s="12" t="s">
        <v>26</v>
      </c>
      <c r="I488" s="14">
        <v>10</v>
      </c>
      <c r="J488" s="15">
        <v>0.56828189926737005</v>
      </c>
      <c r="K488" s="31">
        <f t="shared" si="21"/>
        <v>650</v>
      </c>
      <c r="L488" s="31">
        <f t="shared" si="22"/>
        <v>281</v>
      </c>
      <c r="M488" s="36">
        <f t="shared" si="23"/>
        <v>-369</v>
      </c>
    </row>
    <row r="489" spans="2:13">
      <c r="B489" s="16" t="s">
        <v>1033</v>
      </c>
      <c r="C489" s="16" t="s">
        <v>1662</v>
      </c>
      <c r="D489" s="17">
        <v>44737</v>
      </c>
      <c r="E489" s="16" t="s">
        <v>1683</v>
      </c>
      <c r="F489" s="16" t="s">
        <v>1682</v>
      </c>
      <c r="G489" s="32">
        <v>250</v>
      </c>
      <c r="H489" s="16" t="s">
        <v>32</v>
      </c>
      <c r="I489" s="18">
        <v>1</v>
      </c>
      <c r="J489" s="19">
        <v>0.68415839920111299</v>
      </c>
      <c r="K489" s="32">
        <f t="shared" si="21"/>
        <v>250</v>
      </c>
      <c r="L489" s="32">
        <f t="shared" si="22"/>
        <v>79</v>
      </c>
      <c r="M489" s="37">
        <f t="shared" si="23"/>
        <v>-171</v>
      </c>
    </row>
    <row r="490" spans="2:13">
      <c r="B490" s="12" t="s">
        <v>1035</v>
      </c>
      <c r="C490" s="12" t="s">
        <v>1664</v>
      </c>
      <c r="D490" s="13">
        <v>44747</v>
      </c>
      <c r="E490" s="12" t="s">
        <v>1684</v>
      </c>
      <c r="F490" s="12" t="s">
        <v>1680</v>
      </c>
      <c r="G490" s="31">
        <v>130</v>
      </c>
      <c r="H490" s="12" t="s">
        <v>21</v>
      </c>
      <c r="I490" s="14">
        <v>6</v>
      </c>
      <c r="J490" s="15">
        <v>0.47900916747418498</v>
      </c>
      <c r="K490" s="31">
        <f t="shared" si="21"/>
        <v>780</v>
      </c>
      <c r="L490" s="31">
        <f t="shared" si="22"/>
        <v>406</v>
      </c>
      <c r="M490" s="36">
        <f t="shared" si="23"/>
        <v>-374</v>
      </c>
    </row>
    <row r="491" spans="2:13">
      <c r="B491" s="16" t="s">
        <v>1037</v>
      </c>
      <c r="C491" s="16" t="s">
        <v>1666</v>
      </c>
      <c r="D491" s="17">
        <v>44754</v>
      </c>
      <c r="E491" s="16" t="s">
        <v>1685</v>
      </c>
      <c r="F491" s="16" t="s">
        <v>1682</v>
      </c>
      <c r="G491" s="32">
        <v>60</v>
      </c>
      <c r="H491" s="16" t="s">
        <v>26</v>
      </c>
      <c r="I491" s="18">
        <v>4</v>
      </c>
      <c r="J491" s="19">
        <v>0.89045722746488698</v>
      </c>
      <c r="K491" s="32">
        <f t="shared" si="21"/>
        <v>240</v>
      </c>
      <c r="L491" s="32">
        <f t="shared" si="22"/>
        <v>26</v>
      </c>
      <c r="M491" s="37">
        <f t="shared" si="23"/>
        <v>-214</v>
      </c>
    </row>
    <row r="492" spans="2:13">
      <c r="B492" s="12" t="s">
        <v>1039</v>
      </c>
      <c r="C492" s="12" t="s">
        <v>1668</v>
      </c>
      <c r="D492" s="13">
        <v>44760</v>
      </c>
      <c r="E492" s="12" t="s">
        <v>1679</v>
      </c>
      <c r="F492" s="12" t="s">
        <v>1680</v>
      </c>
      <c r="G492" s="31">
        <v>72</v>
      </c>
      <c r="H492" s="12" t="s">
        <v>32</v>
      </c>
      <c r="I492" s="14">
        <v>7</v>
      </c>
      <c r="J492" s="15">
        <v>0.509499718805001</v>
      </c>
      <c r="K492" s="31">
        <f t="shared" si="21"/>
        <v>504</v>
      </c>
      <c r="L492" s="31">
        <f t="shared" si="22"/>
        <v>247</v>
      </c>
      <c r="M492" s="36">
        <f t="shared" si="23"/>
        <v>-257</v>
      </c>
    </row>
    <row r="493" spans="2:13">
      <c r="B493" s="16" t="s">
        <v>1041</v>
      </c>
      <c r="C493" s="16" t="s">
        <v>1660</v>
      </c>
      <c r="D493" s="17">
        <v>44759</v>
      </c>
      <c r="E493" s="16" t="s">
        <v>1681</v>
      </c>
      <c r="F493" s="16" t="s">
        <v>1682</v>
      </c>
      <c r="G493" s="32">
        <v>65</v>
      </c>
      <c r="H493" s="16" t="s">
        <v>21</v>
      </c>
      <c r="I493" s="18">
        <v>12</v>
      </c>
      <c r="J493" s="19">
        <v>0.78361211804501996</v>
      </c>
      <c r="K493" s="32">
        <f t="shared" si="21"/>
        <v>780</v>
      </c>
      <c r="L493" s="32">
        <f t="shared" si="22"/>
        <v>169</v>
      </c>
      <c r="M493" s="37">
        <f t="shared" si="23"/>
        <v>-611</v>
      </c>
    </row>
    <row r="494" spans="2:13">
      <c r="B494" s="12" t="s">
        <v>1043</v>
      </c>
      <c r="C494" s="12" t="s">
        <v>1662</v>
      </c>
      <c r="D494" s="13">
        <v>44735</v>
      </c>
      <c r="E494" s="12" t="s">
        <v>1683</v>
      </c>
      <c r="F494" s="12" t="s">
        <v>1680</v>
      </c>
      <c r="G494" s="31">
        <v>250</v>
      </c>
      <c r="H494" s="12" t="s">
        <v>26</v>
      </c>
      <c r="I494" s="14">
        <v>1</v>
      </c>
      <c r="J494" s="15">
        <v>6.5969201547905296E-2</v>
      </c>
      <c r="K494" s="31">
        <f t="shared" si="21"/>
        <v>250</v>
      </c>
      <c r="L494" s="31">
        <f t="shared" si="22"/>
        <v>234</v>
      </c>
      <c r="M494" s="36">
        <f t="shared" si="23"/>
        <v>-16</v>
      </c>
    </row>
    <row r="495" spans="2:13">
      <c r="B495" s="16" t="s">
        <v>1045</v>
      </c>
      <c r="C495" s="16" t="s">
        <v>1664</v>
      </c>
      <c r="D495" s="17">
        <v>44734</v>
      </c>
      <c r="E495" s="16" t="s">
        <v>1684</v>
      </c>
      <c r="F495" s="16" t="s">
        <v>1682</v>
      </c>
      <c r="G495" s="32">
        <v>130</v>
      </c>
      <c r="H495" s="16" t="s">
        <v>32</v>
      </c>
      <c r="I495" s="18">
        <v>6</v>
      </c>
      <c r="J495" s="19">
        <v>0.17858014910494899</v>
      </c>
      <c r="K495" s="32">
        <f t="shared" si="21"/>
        <v>780</v>
      </c>
      <c r="L495" s="32">
        <f t="shared" si="22"/>
        <v>641</v>
      </c>
      <c r="M495" s="37">
        <f t="shared" si="23"/>
        <v>-139</v>
      </c>
    </row>
    <row r="496" spans="2:13">
      <c r="B496" s="12" t="s">
        <v>1047</v>
      </c>
      <c r="C496" s="12" t="s">
        <v>1666</v>
      </c>
      <c r="D496" s="13">
        <v>44753</v>
      </c>
      <c r="E496" s="12" t="s">
        <v>1679</v>
      </c>
      <c r="F496" s="12" t="s">
        <v>1680</v>
      </c>
      <c r="G496" s="31">
        <v>72</v>
      </c>
      <c r="H496" s="12" t="s">
        <v>21</v>
      </c>
      <c r="I496" s="14">
        <v>4</v>
      </c>
      <c r="J496" s="15">
        <v>0.43587855952805299</v>
      </c>
      <c r="K496" s="31">
        <f t="shared" si="21"/>
        <v>288</v>
      </c>
      <c r="L496" s="31">
        <f t="shared" si="22"/>
        <v>162</v>
      </c>
      <c r="M496" s="36">
        <f t="shared" si="23"/>
        <v>-126</v>
      </c>
    </row>
    <row r="497" spans="2:13">
      <c r="B497" s="16" t="s">
        <v>1049</v>
      </c>
      <c r="C497" s="16" t="s">
        <v>1660</v>
      </c>
      <c r="D497" s="17">
        <v>44739</v>
      </c>
      <c r="E497" s="16" t="s">
        <v>1681</v>
      </c>
      <c r="F497" s="16" t="s">
        <v>1682</v>
      </c>
      <c r="G497" s="32">
        <v>65</v>
      </c>
      <c r="H497" s="16" t="s">
        <v>26</v>
      </c>
      <c r="I497" s="18">
        <v>10</v>
      </c>
      <c r="J497" s="19">
        <v>0.74040338644493497</v>
      </c>
      <c r="K497" s="32">
        <f t="shared" si="21"/>
        <v>650</v>
      </c>
      <c r="L497" s="32">
        <f t="shared" si="22"/>
        <v>169</v>
      </c>
      <c r="M497" s="37">
        <f t="shared" si="23"/>
        <v>-481</v>
      </c>
    </row>
    <row r="498" spans="2:13">
      <c r="B498" s="12" t="s">
        <v>1051</v>
      </c>
      <c r="C498" s="12" t="s">
        <v>1662</v>
      </c>
      <c r="D498" s="13">
        <v>44740</v>
      </c>
      <c r="E498" s="12" t="s">
        <v>1683</v>
      </c>
      <c r="F498" s="12" t="s">
        <v>1680</v>
      </c>
      <c r="G498" s="31">
        <v>250</v>
      </c>
      <c r="H498" s="12" t="s">
        <v>32</v>
      </c>
      <c r="I498" s="14">
        <v>4</v>
      </c>
      <c r="J498" s="15">
        <v>0.541095713457448</v>
      </c>
      <c r="K498" s="31">
        <f t="shared" si="21"/>
        <v>1000</v>
      </c>
      <c r="L498" s="31">
        <f t="shared" si="22"/>
        <v>459</v>
      </c>
      <c r="M498" s="36">
        <f t="shared" si="23"/>
        <v>-541</v>
      </c>
    </row>
    <row r="499" spans="2:13">
      <c r="B499" s="16" t="s">
        <v>1053</v>
      </c>
      <c r="C499" s="16" t="s">
        <v>1664</v>
      </c>
      <c r="D499" s="17">
        <v>44748</v>
      </c>
      <c r="E499" s="16" t="s">
        <v>1684</v>
      </c>
      <c r="F499" s="16" t="s">
        <v>1682</v>
      </c>
      <c r="G499" s="32">
        <v>130</v>
      </c>
      <c r="H499" s="16" t="s">
        <v>21</v>
      </c>
      <c r="I499" s="18">
        <v>3</v>
      </c>
      <c r="J499" s="19">
        <v>0.71271172701355101</v>
      </c>
      <c r="K499" s="32">
        <f t="shared" si="21"/>
        <v>390</v>
      </c>
      <c r="L499" s="32">
        <f t="shared" si="22"/>
        <v>112</v>
      </c>
      <c r="M499" s="37">
        <f t="shared" si="23"/>
        <v>-278</v>
      </c>
    </row>
    <row r="500" spans="2:13">
      <c r="B500" s="12" t="s">
        <v>1055</v>
      </c>
      <c r="C500" s="12" t="s">
        <v>1666</v>
      </c>
      <c r="D500" s="13">
        <v>44731</v>
      </c>
      <c r="E500" s="12" t="s">
        <v>1685</v>
      </c>
      <c r="F500" s="12" t="s">
        <v>1680</v>
      </c>
      <c r="G500" s="31">
        <v>60</v>
      </c>
      <c r="H500" s="12" t="s">
        <v>26</v>
      </c>
      <c r="I500" s="14">
        <v>13</v>
      </c>
      <c r="J500" s="15">
        <v>0.66248409996473101</v>
      </c>
      <c r="K500" s="31">
        <f t="shared" si="21"/>
        <v>780</v>
      </c>
      <c r="L500" s="31">
        <f t="shared" si="22"/>
        <v>263</v>
      </c>
      <c r="M500" s="36">
        <f t="shared" si="23"/>
        <v>-517</v>
      </c>
    </row>
    <row r="501" spans="2:13">
      <c r="B501" s="16" t="s">
        <v>1057</v>
      </c>
      <c r="C501" s="16" t="s">
        <v>1668</v>
      </c>
      <c r="D501" s="17">
        <v>44763</v>
      </c>
      <c r="E501" s="16" t="s">
        <v>1686</v>
      </c>
      <c r="F501" s="16" t="s">
        <v>1682</v>
      </c>
      <c r="G501" s="32">
        <v>95</v>
      </c>
      <c r="H501" s="16" t="s">
        <v>32</v>
      </c>
      <c r="I501" s="18">
        <v>4</v>
      </c>
      <c r="J501" s="19">
        <v>0.51300641040982697</v>
      </c>
      <c r="K501" s="32">
        <f t="shared" si="21"/>
        <v>380</v>
      </c>
      <c r="L501" s="32">
        <f t="shared" si="22"/>
        <v>185</v>
      </c>
      <c r="M501" s="37">
        <f t="shared" si="23"/>
        <v>-195</v>
      </c>
    </row>
    <row r="502" spans="2:13">
      <c r="B502" s="12" t="s">
        <v>1059</v>
      </c>
      <c r="C502" s="12" t="s">
        <v>1669</v>
      </c>
      <c r="D502" s="13">
        <v>44733</v>
      </c>
      <c r="E502" s="12" t="s">
        <v>1679</v>
      </c>
      <c r="F502" s="12" t="s">
        <v>1680</v>
      </c>
      <c r="G502" s="31">
        <v>72</v>
      </c>
      <c r="H502" s="12" t="s">
        <v>21</v>
      </c>
      <c r="I502" s="14">
        <v>3</v>
      </c>
      <c r="J502" s="15">
        <v>0.84951124937796896</v>
      </c>
      <c r="K502" s="31">
        <f t="shared" si="21"/>
        <v>216</v>
      </c>
      <c r="L502" s="31">
        <f t="shared" si="22"/>
        <v>33</v>
      </c>
      <c r="M502" s="36">
        <f t="shared" si="23"/>
        <v>-183</v>
      </c>
    </row>
    <row r="503" spans="2:13">
      <c r="B503" s="16" t="s">
        <v>1061</v>
      </c>
      <c r="C503" s="16" t="s">
        <v>1660</v>
      </c>
      <c r="D503" s="17">
        <v>44746</v>
      </c>
      <c r="E503" s="16" t="s">
        <v>1681</v>
      </c>
      <c r="F503" s="16" t="s">
        <v>1682</v>
      </c>
      <c r="G503" s="32">
        <v>65</v>
      </c>
      <c r="H503" s="16" t="s">
        <v>26</v>
      </c>
      <c r="I503" s="18">
        <v>12</v>
      </c>
      <c r="J503" s="19">
        <v>0.57786595909251803</v>
      </c>
      <c r="K503" s="32">
        <f t="shared" si="21"/>
        <v>780</v>
      </c>
      <c r="L503" s="32">
        <f t="shared" si="22"/>
        <v>329</v>
      </c>
      <c r="M503" s="37">
        <f t="shared" si="23"/>
        <v>-451</v>
      </c>
    </row>
    <row r="504" spans="2:13">
      <c r="B504" s="12" t="s">
        <v>1063</v>
      </c>
      <c r="C504" s="12" t="s">
        <v>1662</v>
      </c>
      <c r="D504" s="13">
        <v>44755</v>
      </c>
      <c r="E504" s="12" t="s">
        <v>1683</v>
      </c>
      <c r="F504" s="12" t="s">
        <v>1682</v>
      </c>
      <c r="G504" s="31">
        <v>250</v>
      </c>
      <c r="H504" s="12" t="s">
        <v>32</v>
      </c>
      <c r="I504" s="14">
        <v>4</v>
      </c>
      <c r="J504" s="15">
        <v>1.9027976654024299E-2</v>
      </c>
      <c r="K504" s="31">
        <f t="shared" si="21"/>
        <v>1000</v>
      </c>
      <c r="L504" s="31">
        <f t="shared" si="22"/>
        <v>981</v>
      </c>
      <c r="M504" s="36">
        <f t="shared" si="23"/>
        <v>-19</v>
      </c>
    </row>
    <row r="505" spans="2:13">
      <c r="B505" s="16" t="s">
        <v>1065</v>
      </c>
      <c r="C505" s="16" t="s">
        <v>1660</v>
      </c>
      <c r="D505" s="17">
        <v>44787</v>
      </c>
      <c r="E505" s="16" t="s">
        <v>1679</v>
      </c>
      <c r="F505" s="16" t="s">
        <v>1680</v>
      </c>
      <c r="G505" s="32">
        <v>72</v>
      </c>
      <c r="H505" s="16" t="s">
        <v>21</v>
      </c>
      <c r="I505" s="18">
        <v>9</v>
      </c>
      <c r="J505" s="19">
        <f ca="1">RAND()</f>
        <v>0.15464018477120201</v>
      </c>
      <c r="K505" s="32">
        <f t="shared" si="21"/>
        <v>648</v>
      </c>
      <c r="L505" s="32">
        <f t="shared" ca="1" si="22"/>
        <v>548</v>
      </c>
      <c r="M505" s="37">
        <f t="shared" ca="1" si="23"/>
        <v>-100</v>
      </c>
    </row>
    <row r="506" spans="2:13">
      <c r="B506" s="12" t="s">
        <v>1067</v>
      </c>
      <c r="C506" s="12" t="s">
        <v>1662</v>
      </c>
      <c r="D506" s="13">
        <v>44799</v>
      </c>
      <c r="E506" s="12" t="s">
        <v>1681</v>
      </c>
      <c r="F506" s="12" t="s">
        <v>1682</v>
      </c>
      <c r="G506" s="31">
        <v>65</v>
      </c>
      <c r="H506" s="12" t="s">
        <v>26</v>
      </c>
      <c r="I506" s="14">
        <v>11</v>
      </c>
      <c r="J506" s="15">
        <f ca="1">RAND()</f>
        <v>0.80804509225215493</v>
      </c>
      <c r="K506" s="31">
        <f t="shared" si="21"/>
        <v>715</v>
      </c>
      <c r="L506" s="31">
        <f t="shared" ca="1" si="22"/>
        <v>137</v>
      </c>
      <c r="M506" s="36">
        <f t="shared" ca="1" si="23"/>
        <v>-578</v>
      </c>
    </row>
    <row r="507" spans="2:13">
      <c r="B507" s="16" t="s">
        <v>1069</v>
      </c>
      <c r="C507" s="16" t="s">
        <v>1664</v>
      </c>
      <c r="D507" s="17">
        <v>44802</v>
      </c>
      <c r="E507" s="16" t="s">
        <v>1683</v>
      </c>
      <c r="F507" s="16" t="s">
        <v>1680</v>
      </c>
      <c r="G507" s="32">
        <v>250</v>
      </c>
      <c r="H507" s="16" t="s">
        <v>32</v>
      </c>
      <c r="I507" s="18">
        <v>2</v>
      </c>
      <c r="J507" s="19">
        <f ca="1">RAND()</f>
        <v>0.39273628125243398</v>
      </c>
      <c r="K507" s="32">
        <f t="shared" si="21"/>
        <v>500</v>
      </c>
      <c r="L507" s="32">
        <f t="shared" ca="1" si="22"/>
        <v>304</v>
      </c>
      <c r="M507" s="37">
        <f t="shared" ca="1" si="23"/>
        <v>-196</v>
      </c>
    </row>
    <row r="508" spans="2:13">
      <c r="B508" s="12" t="s">
        <v>1071</v>
      </c>
      <c r="C508" s="12" t="s">
        <v>1666</v>
      </c>
      <c r="D508" s="13">
        <v>44774</v>
      </c>
      <c r="E508" s="12" t="s">
        <v>1684</v>
      </c>
      <c r="F508" s="12" t="s">
        <v>1682</v>
      </c>
      <c r="G508" s="31">
        <v>130</v>
      </c>
      <c r="H508" s="12" t="s">
        <v>21</v>
      </c>
      <c r="I508" s="14">
        <v>5</v>
      </c>
      <c r="J508" s="15">
        <f ca="1">RAND()</f>
        <v>0.35983202387002455</v>
      </c>
      <c r="K508" s="31">
        <f t="shared" si="21"/>
        <v>650</v>
      </c>
      <c r="L508" s="31">
        <f t="shared" ca="1" si="22"/>
        <v>416</v>
      </c>
      <c r="M508" s="36">
        <f t="shared" ca="1" si="23"/>
        <v>-234</v>
      </c>
    </row>
    <row r="509" spans="2:13">
      <c r="B509" s="16" t="s">
        <v>1073</v>
      </c>
      <c r="C509" s="16" t="s">
        <v>1660</v>
      </c>
      <c r="D509" s="17">
        <v>44800</v>
      </c>
      <c r="E509" s="16" t="s">
        <v>1679</v>
      </c>
      <c r="F509" s="16" t="s">
        <v>1680</v>
      </c>
      <c r="G509" s="32">
        <v>72</v>
      </c>
      <c r="H509" s="16" t="s">
        <v>26</v>
      </c>
      <c r="I509" s="18">
        <v>8</v>
      </c>
      <c r="J509" s="19">
        <f ca="1">RAND()</f>
        <v>0.8538786413182109</v>
      </c>
      <c r="K509" s="32">
        <f t="shared" si="21"/>
        <v>576</v>
      </c>
      <c r="L509" s="32">
        <f t="shared" ca="1" si="22"/>
        <v>84</v>
      </c>
      <c r="M509" s="37">
        <f t="shared" ca="1" si="23"/>
        <v>-492</v>
      </c>
    </row>
    <row r="510" spans="2:13">
      <c r="B510" s="12" t="s">
        <v>1075</v>
      </c>
      <c r="C510" s="12" t="s">
        <v>1662</v>
      </c>
      <c r="D510" s="13">
        <v>44797</v>
      </c>
      <c r="E510" s="12" t="s">
        <v>1681</v>
      </c>
      <c r="F510" s="12" t="s">
        <v>1682</v>
      </c>
      <c r="G510" s="31">
        <v>65</v>
      </c>
      <c r="H510" s="12" t="s">
        <v>32</v>
      </c>
      <c r="I510" s="14">
        <v>5</v>
      </c>
      <c r="J510" s="15">
        <f ca="1">RAND()</f>
        <v>0.21021951450680343</v>
      </c>
      <c r="K510" s="31">
        <f t="shared" si="21"/>
        <v>325</v>
      </c>
      <c r="L510" s="31">
        <f t="shared" ca="1" si="22"/>
        <v>257</v>
      </c>
      <c r="M510" s="36">
        <f t="shared" ca="1" si="23"/>
        <v>-68</v>
      </c>
    </row>
    <row r="511" spans="2:13">
      <c r="B511" s="16" t="s">
        <v>1077</v>
      </c>
      <c r="C511" s="16" t="s">
        <v>1664</v>
      </c>
      <c r="D511" s="17">
        <v>44766</v>
      </c>
      <c r="E511" s="16" t="s">
        <v>1683</v>
      </c>
      <c r="F511" s="16" t="s">
        <v>1680</v>
      </c>
      <c r="G511" s="32">
        <v>250</v>
      </c>
      <c r="H511" s="16" t="s">
        <v>21</v>
      </c>
      <c r="I511" s="18">
        <v>2</v>
      </c>
      <c r="J511" s="19">
        <f ca="1">RAND()</f>
        <v>0.36609475470562491</v>
      </c>
      <c r="K511" s="32">
        <f t="shared" si="21"/>
        <v>500</v>
      </c>
      <c r="L511" s="32">
        <f t="shared" ca="1" si="22"/>
        <v>317</v>
      </c>
      <c r="M511" s="37">
        <f t="shared" ca="1" si="23"/>
        <v>-183</v>
      </c>
    </row>
    <row r="512" spans="2:13">
      <c r="B512" s="12" t="s">
        <v>1079</v>
      </c>
      <c r="C512" s="12" t="s">
        <v>1666</v>
      </c>
      <c r="D512" s="13">
        <v>44782</v>
      </c>
      <c r="E512" s="12" t="s">
        <v>1684</v>
      </c>
      <c r="F512" s="12" t="s">
        <v>1682</v>
      </c>
      <c r="G512" s="31">
        <v>130</v>
      </c>
      <c r="H512" s="12" t="s">
        <v>26</v>
      </c>
      <c r="I512" s="14">
        <v>4</v>
      </c>
      <c r="J512" s="15">
        <f ca="1">RAND()</f>
        <v>0.70624349203353942</v>
      </c>
      <c r="K512" s="31">
        <f t="shared" si="21"/>
        <v>520</v>
      </c>
      <c r="L512" s="31">
        <f t="shared" ca="1" si="22"/>
        <v>153</v>
      </c>
      <c r="M512" s="36">
        <f t="shared" ca="1" si="23"/>
        <v>-367</v>
      </c>
    </row>
    <row r="513" spans="2:13">
      <c r="B513" s="16" t="s">
        <v>1081</v>
      </c>
      <c r="C513" s="16" t="s">
        <v>1668</v>
      </c>
      <c r="D513" s="17">
        <v>44790</v>
      </c>
      <c r="E513" s="16" t="s">
        <v>1685</v>
      </c>
      <c r="F513" s="16" t="s">
        <v>1680</v>
      </c>
      <c r="G513" s="32">
        <v>60</v>
      </c>
      <c r="H513" s="16" t="s">
        <v>32</v>
      </c>
      <c r="I513" s="18">
        <v>12</v>
      </c>
      <c r="J513" s="19">
        <f ca="1">RAND()</f>
        <v>6.3514500428873966E-3</v>
      </c>
      <c r="K513" s="32">
        <f t="shared" si="21"/>
        <v>720</v>
      </c>
      <c r="L513" s="32">
        <f t="shared" ca="1" si="22"/>
        <v>715</v>
      </c>
      <c r="M513" s="37">
        <f t="shared" ca="1" si="23"/>
        <v>-5</v>
      </c>
    </row>
    <row r="514" spans="2:13">
      <c r="B514" s="12" t="s">
        <v>1083</v>
      </c>
      <c r="C514" s="12" t="s">
        <v>1660</v>
      </c>
      <c r="D514" s="13">
        <v>44770</v>
      </c>
      <c r="E514" s="12" t="s">
        <v>1679</v>
      </c>
      <c r="F514" s="12" t="s">
        <v>1682</v>
      </c>
      <c r="G514" s="31">
        <v>72</v>
      </c>
      <c r="H514" s="12" t="s">
        <v>21</v>
      </c>
      <c r="I514" s="14">
        <v>12</v>
      </c>
      <c r="J514" s="15">
        <f ca="1">RAND()</f>
        <v>0.46034779198814246</v>
      </c>
      <c r="K514" s="31">
        <f t="shared" si="21"/>
        <v>864</v>
      </c>
      <c r="L514" s="31">
        <f t="shared" ca="1" si="22"/>
        <v>466</v>
      </c>
      <c r="M514" s="36">
        <f t="shared" ca="1" si="23"/>
        <v>-398</v>
      </c>
    </row>
    <row r="515" spans="2:13">
      <c r="B515" s="16" t="s">
        <v>1085</v>
      </c>
      <c r="C515" s="16" t="s">
        <v>1662</v>
      </c>
      <c r="D515" s="17">
        <v>44759</v>
      </c>
      <c r="E515" s="16" t="s">
        <v>1681</v>
      </c>
      <c r="F515" s="16" t="s">
        <v>1680</v>
      </c>
      <c r="G515" s="32">
        <v>65</v>
      </c>
      <c r="H515" s="16" t="s">
        <v>26</v>
      </c>
      <c r="I515" s="18">
        <v>9</v>
      </c>
      <c r="J515" s="19">
        <f ca="1">RAND()</f>
        <v>0.33335065844604239</v>
      </c>
      <c r="K515" s="32">
        <f t="shared" si="21"/>
        <v>585</v>
      </c>
      <c r="L515" s="32">
        <f t="shared" ca="1" si="22"/>
        <v>390</v>
      </c>
      <c r="M515" s="37">
        <f t="shared" ca="1" si="23"/>
        <v>-195</v>
      </c>
    </row>
    <row r="516" spans="2:13">
      <c r="B516" s="12" t="s">
        <v>1087</v>
      </c>
      <c r="C516" s="12" t="s">
        <v>1664</v>
      </c>
      <c r="D516" s="13">
        <v>44776</v>
      </c>
      <c r="E516" s="12" t="s">
        <v>1683</v>
      </c>
      <c r="F516" s="12" t="s">
        <v>1682</v>
      </c>
      <c r="G516" s="31">
        <v>250</v>
      </c>
      <c r="H516" s="12" t="s">
        <v>32</v>
      </c>
      <c r="I516" s="14">
        <v>3</v>
      </c>
      <c r="J516" s="15">
        <f ca="1">RAND()</f>
        <v>0.57138467291451733</v>
      </c>
      <c r="K516" s="31">
        <f t="shared" si="21"/>
        <v>750</v>
      </c>
      <c r="L516" s="31">
        <f t="shared" ca="1" si="22"/>
        <v>321</v>
      </c>
      <c r="M516" s="36">
        <f t="shared" ca="1" si="23"/>
        <v>-429</v>
      </c>
    </row>
    <row r="517" spans="2:13">
      <c r="B517" s="16" t="s">
        <v>1089</v>
      </c>
      <c r="C517" s="16" t="s">
        <v>1666</v>
      </c>
      <c r="D517" s="17">
        <v>44757</v>
      </c>
      <c r="E517" s="16" t="s">
        <v>1684</v>
      </c>
      <c r="F517" s="16" t="s">
        <v>1680</v>
      </c>
      <c r="G517" s="32">
        <v>130</v>
      </c>
      <c r="H517" s="16" t="s">
        <v>21</v>
      </c>
      <c r="I517" s="18">
        <v>6</v>
      </c>
      <c r="J517" s="19">
        <f ca="1">RAND()</f>
        <v>0.23073525605673462</v>
      </c>
      <c r="K517" s="32">
        <f t="shared" si="21"/>
        <v>780</v>
      </c>
      <c r="L517" s="32">
        <f t="shared" ca="1" si="22"/>
        <v>600</v>
      </c>
      <c r="M517" s="37">
        <f t="shared" ca="1" si="23"/>
        <v>-180</v>
      </c>
    </row>
    <row r="518" spans="2:13">
      <c r="B518" s="12" t="s">
        <v>1091</v>
      </c>
      <c r="C518" s="12" t="s">
        <v>1660</v>
      </c>
      <c r="D518" s="13">
        <v>44771</v>
      </c>
      <c r="E518" s="12" t="s">
        <v>1679</v>
      </c>
      <c r="F518" s="12" t="s">
        <v>1682</v>
      </c>
      <c r="G518" s="31">
        <v>72</v>
      </c>
      <c r="H518" s="12" t="s">
        <v>26</v>
      </c>
      <c r="I518" s="14">
        <v>8</v>
      </c>
      <c r="J518" s="15">
        <f ca="1">RAND()</f>
        <v>0.18271623054671893</v>
      </c>
      <c r="K518" s="31">
        <f t="shared" ref="K518:K581" si="24">PRODUCT(I518,G518)</f>
        <v>576</v>
      </c>
      <c r="L518" s="31">
        <f t="shared" ref="L518:L581" ca="1" si="25">ROUND(K518*(1-J518),0)</f>
        <v>471</v>
      </c>
      <c r="M518" s="36">
        <f t="shared" ca="1" si="23"/>
        <v>-105</v>
      </c>
    </row>
    <row r="519" spans="2:13">
      <c r="B519" s="16" t="s">
        <v>1093</v>
      </c>
      <c r="C519" s="16" t="s">
        <v>1662</v>
      </c>
      <c r="D519" s="17">
        <v>44788</v>
      </c>
      <c r="E519" s="16" t="s">
        <v>1681</v>
      </c>
      <c r="F519" s="16" t="s">
        <v>1680</v>
      </c>
      <c r="G519" s="32">
        <v>65</v>
      </c>
      <c r="H519" s="16" t="s">
        <v>32</v>
      </c>
      <c r="I519" s="18">
        <v>4</v>
      </c>
      <c r="J519" s="19">
        <f ca="1">RAND()</f>
        <v>1.4460704752365827E-2</v>
      </c>
      <c r="K519" s="32">
        <f t="shared" si="24"/>
        <v>260</v>
      </c>
      <c r="L519" s="32">
        <f t="shared" ca="1" si="25"/>
        <v>256</v>
      </c>
      <c r="M519" s="37">
        <f t="shared" ref="M519:M582" ca="1" si="26">ROUND(L519-K519,0)</f>
        <v>-4</v>
      </c>
    </row>
    <row r="520" spans="2:13">
      <c r="B520" s="12" t="s">
        <v>1095</v>
      </c>
      <c r="C520" s="12" t="s">
        <v>1664</v>
      </c>
      <c r="D520" s="13">
        <v>44762</v>
      </c>
      <c r="E520" s="12" t="s">
        <v>1683</v>
      </c>
      <c r="F520" s="12" t="s">
        <v>1682</v>
      </c>
      <c r="G520" s="31">
        <v>250</v>
      </c>
      <c r="H520" s="12" t="s">
        <v>21</v>
      </c>
      <c r="I520" s="14">
        <v>2</v>
      </c>
      <c r="J520" s="15">
        <f ca="1">RAND()</f>
        <v>0.65751190169755713</v>
      </c>
      <c r="K520" s="31">
        <f t="shared" si="24"/>
        <v>500</v>
      </c>
      <c r="L520" s="31">
        <f t="shared" ca="1" si="25"/>
        <v>171</v>
      </c>
      <c r="M520" s="36">
        <f t="shared" ca="1" si="26"/>
        <v>-329</v>
      </c>
    </row>
    <row r="521" spans="2:13">
      <c r="B521" s="16" t="s">
        <v>1097</v>
      </c>
      <c r="C521" s="16" t="s">
        <v>1666</v>
      </c>
      <c r="D521" s="17">
        <v>44789</v>
      </c>
      <c r="E521" s="16" t="s">
        <v>1684</v>
      </c>
      <c r="F521" s="16" t="s">
        <v>1680</v>
      </c>
      <c r="G521" s="32">
        <v>130</v>
      </c>
      <c r="H521" s="16" t="s">
        <v>26</v>
      </c>
      <c r="I521" s="18">
        <v>6</v>
      </c>
      <c r="J521" s="19">
        <f ca="1">RAND()</f>
        <v>0.50410978753436908</v>
      </c>
      <c r="K521" s="32">
        <f t="shared" si="24"/>
        <v>780</v>
      </c>
      <c r="L521" s="32">
        <f t="shared" ca="1" si="25"/>
        <v>387</v>
      </c>
      <c r="M521" s="37">
        <f t="shared" ca="1" si="26"/>
        <v>-393</v>
      </c>
    </row>
    <row r="522" spans="2:13">
      <c r="B522" s="12" t="s">
        <v>1099</v>
      </c>
      <c r="C522" s="12" t="s">
        <v>1668</v>
      </c>
      <c r="D522" s="13">
        <v>44761</v>
      </c>
      <c r="E522" s="12" t="s">
        <v>1685</v>
      </c>
      <c r="F522" s="12" t="s">
        <v>1680</v>
      </c>
      <c r="G522" s="31">
        <v>60</v>
      </c>
      <c r="H522" s="12" t="s">
        <v>32</v>
      </c>
      <c r="I522" s="14">
        <v>15</v>
      </c>
      <c r="J522" s="15">
        <f ca="1">RAND()</f>
        <v>0.69036589949359672</v>
      </c>
      <c r="K522" s="31">
        <f t="shared" si="24"/>
        <v>900</v>
      </c>
      <c r="L522" s="31">
        <f t="shared" ca="1" si="25"/>
        <v>279</v>
      </c>
      <c r="M522" s="36">
        <f t="shared" ca="1" si="26"/>
        <v>-621</v>
      </c>
    </row>
    <row r="523" spans="2:13">
      <c r="B523" s="16" t="s">
        <v>1101</v>
      </c>
      <c r="C523" s="16" t="s">
        <v>1669</v>
      </c>
      <c r="D523" s="17">
        <v>44790</v>
      </c>
      <c r="E523" s="16" t="s">
        <v>1686</v>
      </c>
      <c r="F523" s="16" t="s">
        <v>1682</v>
      </c>
      <c r="G523" s="32">
        <v>95</v>
      </c>
      <c r="H523" s="16" t="s">
        <v>21</v>
      </c>
      <c r="I523" s="18">
        <v>8</v>
      </c>
      <c r="J523" s="19">
        <f ca="1">RAND()</f>
        <v>0.87369897154961484</v>
      </c>
      <c r="K523" s="32">
        <f t="shared" si="24"/>
        <v>760</v>
      </c>
      <c r="L523" s="32">
        <f t="shared" ca="1" si="25"/>
        <v>96</v>
      </c>
      <c r="M523" s="37">
        <f t="shared" ca="1" si="26"/>
        <v>-664</v>
      </c>
    </row>
    <row r="524" spans="2:13">
      <c r="B524" s="12" t="s">
        <v>1103</v>
      </c>
      <c r="C524" s="12" t="s">
        <v>1660</v>
      </c>
      <c r="D524" s="13">
        <v>44782</v>
      </c>
      <c r="E524" s="12" t="s">
        <v>1679</v>
      </c>
      <c r="F524" s="12" t="s">
        <v>1682</v>
      </c>
      <c r="G524" s="31">
        <v>72</v>
      </c>
      <c r="H524" s="12" t="s">
        <v>26</v>
      </c>
      <c r="I524" s="14">
        <v>4</v>
      </c>
      <c r="J524" s="15">
        <f ca="1">RAND()</f>
        <v>0.90645383401745494</v>
      </c>
      <c r="K524" s="31">
        <f t="shared" si="24"/>
        <v>288</v>
      </c>
      <c r="L524" s="31">
        <f t="shared" ca="1" si="25"/>
        <v>27</v>
      </c>
      <c r="M524" s="36">
        <f t="shared" ca="1" si="26"/>
        <v>-261</v>
      </c>
    </row>
    <row r="525" spans="2:13">
      <c r="B525" s="16" t="s">
        <v>1105</v>
      </c>
      <c r="C525" s="16" t="s">
        <v>1662</v>
      </c>
      <c r="D525" s="17">
        <v>44802</v>
      </c>
      <c r="E525" s="16" t="s">
        <v>1681</v>
      </c>
      <c r="F525" s="16" t="s">
        <v>1682</v>
      </c>
      <c r="G525" s="32">
        <v>65</v>
      </c>
      <c r="H525" s="16" t="s">
        <v>32</v>
      </c>
      <c r="I525" s="18">
        <v>3</v>
      </c>
      <c r="J525" s="19">
        <f ca="1">RAND()</f>
        <v>0.70709154901414784</v>
      </c>
      <c r="K525" s="32">
        <f t="shared" si="24"/>
        <v>195</v>
      </c>
      <c r="L525" s="32">
        <f t="shared" ca="1" si="25"/>
        <v>57</v>
      </c>
      <c r="M525" s="37">
        <f t="shared" ca="1" si="26"/>
        <v>-138</v>
      </c>
    </row>
    <row r="526" spans="2:13">
      <c r="B526" s="12" t="s">
        <v>1107</v>
      </c>
      <c r="C526" s="12" t="s">
        <v>1664</v>
      </c>
      <c r="D526" s="13">
        <v>44791</v>
      </c>
      <c r="E526" s="12" t="s">
        <v>1683</v>
      </c>
      <c r="F526" s="12" t="s">
        <v>1680</v>
      </c>
      <c r="G526" s="31">
        <v>250</v>
      </c>
      <c r="H526" s="12" t="s">
        <v>21</v>
      </c>
      <c r="I526" s="14">
        <v>1</v>
      </c>
      <c r="J526" s="15">
        <f ca="1">RAND()</f>
        <v>5.7258359468408515E-2</v>
      </c>
      <c r="K526" s="31">
        <f t="shared" si="24"/>
        <v>250</v>
      </c>
      <c r="L526" s="31">
        <f t="shared" ca="1" si="25"/>
        <v>236</v>
      </c>
      <c r="M526" s="36">
        <f t="shared" ca="1" si="26"/>
        <v>-14</v>
      </c>
    </row>
    <row r="527" spans="2:13">
      <c r="B527" s="16" t="s">
        <v>1109</v>
      </c>
      <c r="C527" s="16" t="s">
        <v>1666</v>
      </c>
      <c r="D527" s="17">
        <v>44795</v>
      </c>
      <c r="E527" s="16" t="s">
        <v>1684</v>
      </c>
      <c r="F527" s="16" t="s">
        <v>1680</v>
      </c>
      <c r="G527" s="32">
        <v>130</v>
      </c>
      <c r="H527" s="16" t="s">
        <v>26</v>
      </c>
      <c r="I527" s="18">
        <v>3</v>
      </c>
      <c r="J527" s="19">
        <f ca="1">RAND()</f>
        <v>0.41918482964929416</v>
      </c>
      <c r="K527" s="32">
        <f t="shared" si="24"/>
        <v>390</v>
      </c>
      <c r="L527" s="32">
        <f t="shared" ca="1" si="25"/>
        <v>227</v>
      </c>
      <c r="M527" s="37">
        <f t="shared" ca="1" si="26"/>
        <v>-163</v>
      </c>
    </row>
    <row r="528" spans="2:13">
      <c r="B528" s="12" t="s">
        <v>1111</v>
      </c>
      <c r="C528" s="12" t="s">
        <v>1660</v>
      </c>
      <c r="D528" s="13">
        <v>44759</v>
      </c>
      <c r="E528" s="12" t="s">
        <v>1679</v>
      </c>
      <c r="F528" s="12" t="s">
        <v>1680</v>
      </c>
      <c r="G528" s="31">
        <v>72</v>
      </c>
      <c r="H528" s="12" t="s">
        <v>32</v>
      </c>
      <c r="I528" s="14">
        <v>6</v>
      </c>
      <c r="J528" s="15">
        <f ca="1">RAND()</f>
        <v>0.13253241011971217</v>
      </c>
      <c r="K528" s="31">
        <f t="shared" si="24"/>
        <v>432</v>
      </c>
      <c r="L528" s="31">
        <f t="shared" ca="1" si="25"/>
        <v>375</v>
      </c>
      <c r="M528" s="36">
        <f t="shared" ca="1" si="26"/>
        <v>-57</v>
      </c>
    </row>
    <row r="529" spans="2:13">
      <c r="B529" s="16" t="s">
        <v>1113</v>
      </c>
      <c r="C529" s="16" t="s">
        <v>1662</v>
      </c>
      <c r="D529" s="17">
        <v>44756</v>
      </c>
      <c r="E529" s="16" t="s">
        <v>1681</v>
      </c>
      <c r="F529" s="16" t="s">
        <v>1680</v>
      </c>
      <c r="G529" s="32">
        <v>65</v>
      </c>
      <c r="H529" s="16" t="s">
        <v>21</v>
      </c>
      <c r="I529" s="18">
        <v>12</v>
      </c>
      <c r="J529" s="19">
        <f ca="1">RAND()</f>
        <v>0.22119352087911703</v>
      </c>
      <c r="K529" s="32">
        <f t="shared" si="24"/>
        <v>780</v>
      </c>
      <c r="L529" s="32">
        <f t="shared" ca="1" si="25"/>
        <v>607</v>
      </c>
      <c r="M529" s="37">
        <f t="shared" ca="1" si="26"/>
        <v>-173</v>
      </c>
    </row>
    <row r="530" spans="2:13">
      <c r="B530" s="12" t="s">
        <v>1115</v>
      </c>
      <c r="C530" s="12" t="s">
        <v>1664</v>
      </c>
      <c r="D530" s="13">
        <v>44786</v>
      </c>
      <c r="E530" s="12" t="s">
        <v>1683</v>
      </c>
      <c r="F530" s="12" t="s">
        <v>1680</v>
      </c>
      <c r="G530" s="31">
        <v>250</v>
      </c>
      <c r="H530" s="12" t="s">
        <v>26</v>
      </c>
      <c r="I530" s="14">
        <v>3</v>
      </c>
      <c r="J530" s="15">
        <f ca="1">RAND()</f>
        <v>0.63056965037433466</v>
      </c>
      <c r="K530" s="31">
        <f t="shared" si="24"/>
        <v>750</v>
      </c>
      <c r="L530" s="31">
        <f t="shared" ca="1" si="25"/>
        <v>277</v>
      </c>
      <c r="M530" s="36">
        <f t="shared" ca="1" si="26"/>
        <v>-473</v>
      </c>
    </row>
    <row r="531" spans="2:13">
      <c r="B531" s="16" t="s">
        <v>1117</v>
      </c>
      <c r="C531" s="16" t="s">
        <v>1666</v>
      </c>
      <c r="D531" s="17">
        <v>44757</v>
      </c>
      <c r="E531" s="16" t="s">
        <v>1684</v>
      </c>
      <c r="F531" s="16" t="s">
        <v>1680</v>
      </c>
      <c r="G531" s="32">
        <v>130</v>
      </c>
      <c r="H531" s="16" t="s">
        <v>32</v>
      </c>
      <c r="I531" s="18">
        <v>5</v>
      </c>
      <c r="J531" s="19">
        <f ca="1">RAND()</f>
        <v>0.40615548705775772</v>
      </c>
      <c r="K531" s="32">
        <f t="shared" si="24"/>
        <v>650</v>
      </c>
      <c r="L531" s="32">
        <f t="shared" ca="1" si="25"/>
        <v>386</v>
      </c>
      <c r="M531" s="37">
        <f t="shared" ca="1" si="26"/>
        <v>-264</v>
      </c>
    </row>
    <row r="532" spans="2:13">
      <c r="B532" s="12" t="s">
        <v>1119</v>
      </c>
      <c r="C532" s="12" t="s">
        <v>1668</v>
      </c>
      <c r="D532" s="13">
        <v>44787</v>
      </c>
      <c r="E532" s="12" t="s">
        <v>1685</v>
      </c>
      <c r="F532" s="12" t="s">
        <v>1680</v>
      </c>
      <c r="G532" s="31">
        <v>60</v>
      </c>
      <c r="H532" s="12" t="s">
        <v>21</v>
      </c>
      <c r="I532" s="14">
        <v>7</v>
      </c>
      <c r="J532" s="15">
        <f ca="1">RAND()</f>
        <v>0.70157423560340315</v>
      </c>
      <c r="K532" s="31">
        <f t="shared" si="24"/>
        <v>420</v>
      </c>
      <c r="L532" s="31">
        <f t="shared" ca="1" si="25"/>
        <v>125</v>
      </c>
      <c r="M532" s="36">
        <f t="shared" ca="1" si="26"/>
        <v>-295</v>
      </c>
    </row>
    <row r="533" spans="2:13">
      <c r="B533" s="16" t="s">
        <v>1121</v>
      </c>
      <c r="C533" s="16" t="s">
        <v>1660</v>
      </c>
      <c r="D533" s="17">
        <v>44763</v>
      </c>
      <c r="E533" s="16" t="s">
        <v>1679</v>
      </c>
      <c r="F533" s="16" t="s">
        <v>1680</v>
      </c>
      <c r="G533" s="32">
        <v>72</v>
      </c>
      <c r="H533" s="16" t="s">
        <v>26</v>
      </c>
      <c r="I533" s="18">
        <v>7</v>
      </c>
      <c r="J533" s="19">
        <f ca="1">RAND()</f>
        <v>0.70462392653621997</v>
      </c>
      <c r="K533" s="32">
        <f t="shared" si="24"/>
        <v>504</v>
      </c>
      <c r="L533" s="32">
        <f t="shared" ca="1" si="25"/>
        <v>149</v>
      </c>
      <c r="M533" s="37">
        <f t="shared" ca="1" si="26"/>
        <v>-355</v>
      </c>
    </row>
    <row r="534" spans="2:13">
      <c r="B534" s="12" t="s">
        <v>1123</v>
      </c>
      <c r="C534" s="12" t="s">
        <v>1662</v>
      </c>
      <c r="D534" s="13">
        <v>44799</v>
      </c>
      <c r="E534" s="12" t="s">
        <v>1681</v>
      </c>
      <c r="F534" s="12" t="s">
        <v>1680</v>
      </c>
      <c r="G534" s="31">
        <v>65</v>
      </c>
      <c r="H534" s="12" t="s">
        <v>32</v>
      </c>
      <c r="I534" s="14">
        <v>12</v>
      </c>
      <c r="J534" s="15">
        <f ca="1">RAND()</f>
        <v>0.96297042013829981</v>
      </c>
      <c r="K534" s="31">
        <f t="shared" si="24"/>
        <v>780</v>
      </c>
      <c r="L534" s="31">
        <f t="shared" ca="1" si="25"/>
        <v>29</v>
      </c>
      <c r="M534" s="36">
        <f t="shared" ca="1" si="26"/>
        <v>-751</v>
      </c>
    </row>
    <row r="535" spans="2:13">
      <c r="B535" s="16" t="s">
        <v>1125</v>
      </c>
      <c r="C535" s="16" t="s">
        <v>1664</v>
      </c>
      <c r="D535" s="17">
        <v>44798</v>
      </c>
      <c r="E535" s="16" t="s">
        <v>1683</v>
      </c>
      <c r="F535" s="16" t="s">
        <v>1682</v>
      </c>
      <c r="G535" s="32">
        <v>250</v>
      </c>
      <c r="H535" s="16" t="s">
        <v>21</v>
      </c>
      <c r="I535" s="18">
        <v>1</v>
      </c>
      <c r="J535" s="19">
        <f ca="1">RAND()</f>
        <v>0.31548065676297421</v>
      </c>
      <c r="K535" s="32">
        <f t="shared" si="24"/>
        <v>250</v>
      </c>
      <c r="L535" s="32">
        <f t="shared" ca="1" si="25"/>
        <v>171</v>
      </c>
      <c r="M535" s="37">
        <f t="shared" ca="1" si="26"/>
        <v>-79</v>
      </c>
    </row>
    <row r="536" spans="2:13">
      <c r="B536" s="12" t="s">
        <v>1127</v>
      </c>
      <c r="C536" s="12" t="s">
        <v>1666</v>
      </c>
      <c r="D536" s="13">
        <v>44807</v>
      </c>
      <c r="E536" s="12" t="s">
        <v>1684</v>
      </c>
      <c r="F536" s="12" t="s">
        <v>1680</v>
      </c>
      <c r="G536" s="31">
        <v>130</v>
      </c>
      <c r="H536" s="12" t="s">
        <v>26</v>
      </c>
      <c r="I536" s="14">
        <v>2</v>
      </c>
      <c r="J536" s="15">
        <f ca="1">RAND()</f>
        <v>0.49450692100483162</v>
      </c>
      <c r="K536" s="31">
        <f t="shared" si="24"/>
        <v>260</v>
      </c>
      <c r="L536" s="31">
        <f t="shared" ca="1" si="25"/>
        <v>131</v>
      </c>
      <c r="M536" s="36">
        <f t="shared" ca="1" si="26"/>
        <v>-129</v>
      </c>
    </row>
    <row r="537" spans="2:13">
      <c r="B537" s="16" t="s">
        <v>1129</v>
      </c>
      <c r="C537" s="16" t="s">
        <v>1660</v>
      </c>
      <c r="D537" s="17">
        <v>44769</v>
      </c>
      <c r="E537" s="16" t="s">
        <v>1679</v>
      </c>
      <c r="F537" s="16" t="s">
        <v>1680</v>
      </c>
      <c r="G537" s="32">
        <v>72</v>
      </c>
      <c r="H537" s="16" t="s">
        <v>32</v>
      </c>
      <c r="I537" s="18">
        <v>7</v>
      </c>
      <c r="J537" s="19">
        <f ca="1">RAND()</f>
        <v>4.5409486480450401E-2</v>
      </c>
      <c r="K537" s="32">
        <f t="shared" si="24"/>
        <v>504</v>
      </c>
      <c r="L537" s="32">
        <f t="shared" ca="1" si="25"/>
        <v>481</v>
      </c>
      <c r="M537" s="37">
        <f t="shared" ca="1" si="26"/>
        <v>-23</v>
      </c>
    </row>
    <row r="538" spans="2:13">
      <c r="B538" s="12" t="s">
        <v>1131</v>
      </c>
      <c r="C538" s="12" t="s">
        <v>1662</v>
      </c>
      <c r="D538" s="13">
        <v>44779</v>
      </c>
      <c r="E538" s="12" t="s">
        <v>1681</v>
      </c>
      <c r="F538" s="12" t="s">
        <v>1680</v>
      </c>
      <c r="G538" s="31">
        <v>65</v>
      </c>
      <c r="H538" s="12" t="s">
        <v>21</v>
      </c>
      <c r="I538" s="14">
        <v>3</v>
      </c>
      <c r="J538" s="15">
        <f ca="1">RAND()</f>
        <v>0.69230889184993039</v>
      </c>
      <c r="K538" s="31">
        <f t="shared" si="24"/>
        <v>195</v>
      </c>
      <c r="L538" s="31">
        <f t="shared" ca="1" si="25"/>
        <v>60</v>
      </c>
      <c r="M538" s="36">
        <f t="shared" ca="1" si="26"/>
        <v>-135</v>
      </c>
    </row>
    <row r="539" spans="2:13">
      <c r="B539" s="16" t="s">
        <v>1133</v>
      </c>
      <c r="C539" s="16" t="s">
        <v>1664</v>
      </c>
      <c r="D539" s="17">
        <v>44769</v>
      </c>
      <c r="E539" s="16" t="s">
        <v>1683</v>
      </c>
      <c r="F539" s="16" t="s">
        <v>1680</v>
      </c>
      <c r="G539" s="32">
        <v>250</v>
      </c>
      <c r="H539" s="16" t="s">
        <v>26</v>
      </c>
      <c r="I539" s="18">
        <v>2</v>
      </c>
      <c r="J539" s="19">
        <f ca="1">RAND()</f>
        <v>0.82671359951236767</v>
      </c>
      <c r="K539" s="32">
        <f t="shared" si="24"/>
        <v>500</v>
      </c>
      <c r="L539" s="32">
        <f t="shared" ca="1" si="25"/>
        <v>87</v>
      </c>
      <c r="M539" s="37">
        <f t="shared" ca="1" si="26"/>
        <v>-413</v>
      </c>
    </row>
    <row r="540" spans="2:13">
      <c r="B540" s="12" t="s">
        <v>1135</v>
      </c>
      <c r="C540" s="12" t="s">
        <v>1666</v>
      </c>
      <c r="D540" s="13">
        <v>44756</v>
      </c>
      <c r="E540" s="12" t="s">
        <v>1684</v>
      </c>
      <c r="F540" s="12" t="s">
        <v>1680</v>
      </c>
      <c r="G540" s="31">
        <v>130</v>
      </c>
      <c r="H540" s="12" t="s">
        <v>32</v>
      </c>
      <c r="I540" s="14">
        <v>3</v>
      </c>
      <c r="J540" s="15">
        <f ca="1">RAND()</f>
        <v>0.97351392015632987</v>
      </c>
      <c r="K540" s="31">
        <f t="shared" si="24"/>
        <v>390</v>
      </c>
      <c r="L540" s="31">
        <f t="shared" ca="1" si="25"/>
        <v>10</v>
      </c>
      <c r="M540" s="36">
        <f t="shared" ca="1" si="26"/>
        <v>-380</v>
      </c>
    </row>
    <row r="541" spans="2:13">
      <c r="B541" s="16" t="s">
        <v>1137</v>
      </c>
      <c r="C541" s="16" t="s">
        <v>1668</v>
      </c>
      <c r="D541" s="17">
        <v>44799</v>
      </c>
      <c r="E541" s="16" t="s">
        <v>1685</v>
      </c>
      <c r="F541" s="16" t="s">
        <v>1682</v>
      </c>
      <c r="G541" s="32">
        <v>60</v>
      </c>
      <c r="H541" s="16" t="s">
        <v>21</v>
      </c>
      <c r="I541" s="18">
        <v>12</v>
      </c>
      <c r="J541" s="19">
        <f ca="1">RAND()</f>
        <v>0.79416702819793006</v>
      </c>
      <c r="K541" s="32">
        <f t="shared" si="24"/>
        <v>720</v>
      </c>
      <c r="L541" s="32">
        <f t="shared" ca="1" si="25"/>
        <v>148</v>
      </c>
      <c r="M541" s="37">
        <f t="shared" ca="1" si="26"/>
        <v>-572</v>
      </c>
    </row>
    <row r="542" spans="2:13">
      <c r="B542" s="12" t="s">
        <v>1139</v>
      </c>
      <c r="C542" s="12" t="s">
        <v>1669</v>
      </c>
      <c r="D542" s="13">
        <v>44807</v>
      </c>
      <c r="E542" s="12" t="s">
        <v>1686</v>
      </c>
      <c r="F542" s="12" t="s">
        <v>1680</v>
      </c>
      <c r="G542" s="31">
        <v>95</v>
      </c>
      <c r="H542" s="12" t="s">
        <v>26</v>
      </c>
      <c r="I542" s="14">
        <v>3</v>
      </c>
      <c r="J542" s="15">
        <f ca="1">RAND()</f>
        <v>0.80514231761858646</v>
      </c>
      <c r="K542" s="31">
        <f t="shared" si="24"/>
        <v>285</v>
      </c>
      <c r="L542" s="31">
        <f t="shared" ca="1" si="25"/>
        <v>56</v>
      </c>
      <c r="M542" s="36">
        <f t="shared" ca="1" si="26"/>
        <v>-229</v>
      </c>
    </row>
    <row r="543" spans="2:13">
      <c r="B543" s="16" t="s">
        <v>1141</v>
      </c>
      <c r="C543" s="16" t="s">
        <v>1660</v>
      </c>
      <c r="D543" s="17">
        <v>44769</v>
      </c>
      <c r="E543" s="16" t="s">
        <v>1679</v>
      </c>
      <c r="F543" s="16" t="s">
        <v>1680</v>
      </c>
      <c r="G543" s="32">
        <v>72</v>
      </c>
      <c r="H543" s="16" t="s">
        <v>32</v>
      </c>
      <c r="I543" s="18">
        <v>6</v>
      </c>
      <c r="J543" s="19">
        <f ca="1">RAND()</f>
        <v>0.15909143679257509</v>
      </c>
      <c r="K543" s="32">
        <f t="shared" si="24"/>
        <v>432</v>
      </c>
      <c r="L543" s="32">
        <f t="shared" ca="1" si="25"/>
        <v>363</v>
      </c>
      <c r="M543" s="37">
        <f t="shared" ca="1" si="26"/>
        <v>-69</v>
      </c>
    </row>
    <row r="544" spans="2:13">
      <c r="B544" s="12" t="s">
        <v>1143</v>
      </c>
      <c r="C544" s="12" t="s">
        <v>1662</v>
      </c>
      <c r="D544" s="13">
        <v>44805</v>
      </c>
      <c r="E544" s="12" t="s">
        <v>1681</v>
      </c>
      <c r="F544" s="12" t="s">
        <v>1680</v>
      </c>
      <c r="G544" s="31">
        <v>65</v>
      </c>
      <c r="H544" s="12" t="s">
        <v>21</v>
      </c>
      <c r="I544" s="14">
        <v>5</v>
      </c>
      <c r="J544" s="15">
        <f ca="1">RAND()</f>
        <v>0.43486674168062112</v>
      </c>
      <c r="K544" s="31">
        <f t="shared" si="24"/>
        <v>325</v>
      </c>
      <c r="L544" s="31">
        <f t="shared" ca="1" si="25"/>
        <v>184</v>
      </c>
      <c r="M544" s="36">
        <f t="shared" ca="1" si="26"/>
        <v>-141</v>
      </c>
    </row>
    <row r="545" spans="2:13">
      <c r="B545" s="16" t="s">
        <v>1145</v>
      </c>
      <c r="C545" s="16" t="s">
        <v>1664</v>
      </c>
      <c r="D545" s="17">
        <v>44796</v>
      </c>
      <c r="E545" s="16" t="s">
        <v>1683</v>
      </c>
      <c r="F545" s="16" t="s">
        <v>1682</v>
      </c>
      <c r="G545" s="32">
        <v>250</v>
      </c>
      <c r="H545" s="16" t="s">
        <v>26</v>
      </c>
      <c r="I545" s="18">
        <v>3</v>
      </c>
      <c r="J545" s="19">
        <f ca="1">RAND()</f>
        <v>0.58575923250137307</v>
      </c>
      <c r="K545" s="32">
        <f t="shared" si="24"/>
        <v>750</v>
      </c>
      <c r="L545" s="32">
        <f t="shared" ca="1" si="25"/>
        <v>311</v>
      </c>
      <c r="M545" s="37">
        <f t="shared" ca="1" si="26"/>
        <v>-439</v>
      </c>
    </row>
    <row r="546" spans="2:13">
      <c r="B546" s="12" t="s">
        <v>1147</v>
      </c>
      <c r="C546" s="12" t="s">
        <v>1666</v>
      </c>
      <c r="D546" s="13">
        <v>44798</v>
      </c>
      <c r="E546" s="12" t="s">
        <v>1684</v>
      </c>
      <c r="F546" s="12" t="s">
        <v>1682</v>
      </c>
      <c r="G546" s="31">
        <v>130</v>
      </c>
      <c r="H546" s="12" t="s">
        <v>32</v>
      </c>
      <c r="I546" s="14">
        <v>5</v>
      </c>
      <c r="J546" s="15">
        <f ca="1">RAND()</f>
        <v>0.48689880966732291</v>
      </c>
      <c r="K546" s="31">
        <f t="shared" si="24"/>
        <v>650</v>
      </c>
      <c r="L546" s="31">
        <f t="shared" ca="1" si="25"/>
        <v>334</v>
      </c>
      <c r="M546" s="36">
        <f t="shared" ca="1" si="26"/>
        <v>-316</v>
      </c>
    </row>
    <row r="547" spans="2:13">
      <c r="B547" s="16" t="s">
        <v>1149</v>
      </c>
      <c r="C547" s="16" t="s">
        <v>1660</v>
      </c>
      <c r="D547" s="17">
        <v>44756</v>
      </c>
      <c r="E547" s="16" t="s">
        <v>1679</v>
      </c>
      <c r="F547" s="16" t="s">
        <v>1682</v>
      </c>
      <c r="G547" s="32">
        <v>72</v>
      </c>
      <c r="H547" s="16" t="s">
        <v>21</v>
      </c>
      <c r="I547" s="18">
        <v>6</v>
      </c>
      <c r="J547" s="19">
        <f ca="1">RAND()</f>
        <v>0.64381146189131644</v>
      </c>
      <c r="K547" s="32">
        <f t="shared" si="24"/>
        <v>432</v>
      </c>
      <c r="L547" s="32">
        <f t="shared" ca="1" si="25"/>
        <v>154</v>
      </c>
      <c r="M547" s="37">
        <f t="shared" ca="1" si="26"/>
        <v>-278</v>
      </c>
    </row>
    <row r="548" spans="2:13">
      <c r="B548" s="12" t="s">
        <v>1151</v>
      </c>
      <c r="C548" s="12" t="s">
        <v>1662</v>
      </c>
      <c r="D548" s="13">
        <v>44800</v>
      </c>
      <c r="E548" s="12" t="s">
        <v>1681</v>
      </c>
      <c r="F548" s="12" t="s">
        <v>1682</v>
      </c>
      <c r="G548" s="31">
        <v>65</v>
      </c>
      <c r="H548" s="12" t="s">
        <v>26</v>
      </c>
      <c r="I548" s="14">
        <v>11</v>
      </c>
      <c r="J548" s="15">
        <f ca="1">RAND()</f>
        <v>0.18808868178716132</v>
      </c>
      <c r="K548" s="31">
        <f t="shared" si="24"/>
        <v>715</v>
      </c>
      <c r="L548" s="31">
        <f t="shared" ca="1" si="25"/>
        <v>581</v>
      </c>
      <c r="M548" s="36">
        <f t="shared" ca="1" si="26"/>
        <v>-134</v>
      </c>
    </row>
    <row r="549" spans="2:13">
      <c r="B549" s="16" t="s">
        <v>1153</v>
      </c>
      <c r="C549" s="16" t="s">
        <v>1664</v>
      </c>
      <c r="D549" s="17">
        <v>44758</v>
      </c>
      <c r="E549" s="16" t="s">
        <v>1683</v>
      </c>
      <c r="F549" s="16" t="s">
        <v>1682</v>
      </c>
      <c r="G549" s="32">
        <v>250</v>
      </c>
      <c r="H549" s="16" t="s">
        <v>32</v>
      </c>
      <c r="I549" s="18">
        <v>1</v>
      </c>
      <c r="J549" s="19">
        <f ca="1">RAND()</f>
        <v>9.2743706142921822E-2</v>
      </c>
      <c r="K549" s="32">
        <f t="shared" si="24"/>
        <v>250</v>
      </c>
      <c r="L549" s="32">
        <f t="shared" ca="1" si="25"/>
        <v>227</v>
      </c>
      <c r="M549" s="37">
        <f t="shared" ca="1" si="26"/>
        <v>-23</v>
      </c>
    </row>
    <row r="550" spans="2:13">
      <c r="B550" s="12" t="s">
        <v>1155</v>
      </c>
      <c r="C550" s="12" t="s">
        <v>1666</v>
      </c>
      <c r="D550" s="13">
        <v>44788</v>
      </c>
      <c r="E550" s="12" t="s">
        <v>1684</v>
      </c>
      <c r="F550" s="12" t="s">
        <v>1682</v>
      </c>
      <c r="G550" s="31">
        <v>130</v>
      </c>
      <c r="H550" s="12" t="s">
        <v>21</v>
      </c>
      <c r="I550" s="14">
        <v>3</v>
      </c>
      <c r="J550" s="15">
        <f ca="1">RAND()</f>
        <v>0.9020547600202341</v>
      </c>
      <c r="K550" s="31">
        <f t="shared" si="24"/>
        <v>390</v>
      </c>
      <c r="L550" s="31">
        <f t="shared" ca="1" si="25"/>
        <v>38</v>
      </c>
      <c r="M550" s="36">
        <f t="shared" ca="1" si="26"/>
        <v>-352</v>
      </c>
    </row>
    <row r="551" spans="2:13">
      <c r="B551" s="16" t="s">
        <v>1157</v>
      </c>
      <c r="C551" s="16" t="s">
        <v>1660</v>
      </c>
      <c r="D551" s="17">
        <v>44793</v>
      </c>
      <c r="E551" s="16" t="s">
        <v>1679</v>
      </c>
      <c r="F551" s="16" t="s">
        <v>1680</v>
      </c>
      <c r="G551" s="32">
        <v>72</v>
      </c>
      <c r="H551" s="16" t="s">
        <v>21</v>
      </c>
      <c r="I551" s="18">
        <v>10</v>
      </c>
      <c r="J551" s="19">
        <f ca="1">RAND()</f>
        <v>0.17115750891565285</v>
      </c>
      <c r="K551" s="32">
        <f t="shared" si="24"/>
        <v>720</v>
      </c>
      <c r="L551" s="32">
        <f t="shared" ca="1" si="25"/>
        <v>597</v>
      </c>
      <c r="M551" s="37">
        <f t="shared" ca="1" si="26"/>
        <v>-123</v>
      </c>
    </row>
    <row r="552" spans="2:13">
      <c r="B552" s="12" t="s">
        <v>1159</v>
      </c>
      <c r="C552" s="12" t="s">
        <v>1662</v>
      </c>
      <c r="D552" s="13">
        <v>44784</v>
      </c>
      <c r="E552" s="12" t="s">
        <v>1681</v>
      </c>
      <c r="F552" s="12" t="s">
        <v>1682</v>
      </c>
      <c r="G552" s="31">
        <v>65</v>
      </c>
      <c r="H552" s="12" t="s">
        <v>26</v>
      </c>
      <c r="I552" s="14">
        <v>6</v>
      </c>
      <c r="J552" s="15">
        <f ca="1">RAND()</f>
        <v>0.46266770900591259</v>
      </c>
      <c r="K552" s="31">
        <f t="shared" si="24"/>
        <v>390</v>
      </c>
      <c r="L552" s="31">
        <f t="shared" ca="1" si="25"/>
        <v>210</v>
      </c>
      <c r="M552" s="36">
        <f t="shared" ca="1" si="26"/>
        <v>-180</v>
      </c>
    </row>
    <row r="553" spans="2:13">
      <c r="B553" s="16" t="s">
        <v>1161</v>
      </c>
      <c r="C553" s="16" t="s">
        <v>1664</v>
      </c>
      <c r="D553" s="17">
        <v>44793</v>
      </c>
      <c r="E553" s="16" t="s">
        <v>1683</v>
      </c>
      <c r="F553" s="16" t="s">
        <v>1680</v>
      </c>
      <c r="G553" s="32">
        <v>250</v>
      </c>
      <c r="H553" s="16" t="s">
        <v>32</v>
      </c>
      <c r="I553" s="18">
        <v>2</v>
      </c>
      <c r="J553" s="19">
        <f ca="1">RAND()</f>
        <v>0.98911538849274472</v>
      </c>
      <c r="K553" s="32">
        <f t="shared" si="24"/>
        <v>500</v>
      </c>
      <c r="L553" s="32">
        <f t="shared" ca="1" si="25"/>
        <v>5</v>
      </c>
      <c r="M553" s="37">
        <f t="shared" ca="1" si="26"/>
        <v>-495</v>
      </c>
    </row>
    <row r="554" spans="2:13">
      <c r="B554" s="12" t="s">
        <v>1163</v>
      </c>
      <c r="C554" s="12" t="s">
        <v>1666</v>
      </c>
      <c r="D554" s="13">
        <v>44796</v>
      </c>
      <c r="E554" s="12" t="s">
        <v>1684</v>
      </c>
      <c r="F554" s="12" t="s">
        <v>1682</v>
      </c>
      <c r="G554" s="31">
        <v>130</v>
      </c>
      <c r="H554" s="12" t="s">
        <v>21</v>
      </c>
      <c r="I554" s="14">
        <v>5</v>
      </c>
      <c r="J554" s="15">
        <f ca="1">RAND()</f>
        <v>0.77609454092141728</v>
      </c>
      <c r="K554" s="31">
        <f t="shared" si="24"/>
        <v>650</v>
      </c>
      <c r="L554" s="31">
        <f t="shared" ca="1" si="25"/>
        <v>146</v>
      </c>
      <c r="M554" s="36">
        <f t="shared" ca="1" si="26"/>
        <v>-504</v>
      </c>
    </row>
    <row r="555" spans="2:13">
      <c r="B555" s="16" t="s">
        <v>1165</v>
      </c>
      <c r="C555" s="16" t="s">
        <v>1660</v>
      </c>
      <c r="D555" s="17">
        <v>44758</v>
      </c>
      <c r="E555" s="16" t="s">
        <v>1679</v>
      </c>
      <c r="F555" s="16" t="s">
        <v>1680</v>
      </c>
      <c r="G555" s="32">
        <v>72</v>
      </c>
      <c r="H555" s="16" t="s">
        <v>26</v>
      </c>
      <c r="I555" s="18">
        <v>9</v>
      </c>
      <c r="J555" s="19">
        <f ca="1">RAND()</f>
        <v>0.82710686756527108</v>
      </c>
      <c r="K555" s="32">
        <f t="shared" si="24"/>
        <v>648</v>
      </c>
      <c r="L555" s="32">
        <f t="shared" ca="1" si="25"/>
        <v>112</v>
      </c>
      <c r="M555" s="37">
        <f t="shared" ca="1" si="26"/>
        <v>-536</v>
      </c>
    </row>
    <row r="556" spans="2:13">
      <c r="B556" s="12" t="s">
        <v>1167</v>
      </c>
      <c r="C556" s="12" t="s">
        <v>1662</v>
      </c>
      <c r="D556" s="13">
        <v>44757</v>
      </c>
      <c r="E556" s="12" t="s">
        <v>1681</v>
      </c>
      <c r="F556" s="12" t="s">
        <v>1682</v>
      </c>
      <c r="G556" s="31">
        <v>65</v>
      </c>
      <c r="H556" s="12" t="s">
        <v>32</v>
      </c>
      <c r="I556" s="14">
        <v>5</v>
      </c>
      <c r="J556" s="15">
        <f ca="1">RAND()</f>
        <v>0.31385878899712405</v>
      </c>
      <c r="K556" s="31">
        <f t="shared" si="24"/>
        <v>325</v>
      </c>
      <c r="L556" s="31">
        <f t="shared" ca="1" si="25"/>
        <v>223</v>
      </c>
      <c r="M556" s="36">
        <f t="shared" ca="1" si="26"/>
        <v>-102</v>
      </c>
    </row>
    <row r="557" spans="2:13">
      <c r="B557" s="16" t="s">
        <v>1169</v>
      </c>
      <c r="C557" s="16" t="s">
        <v>1664</v>
      </c>
      <c r="D557" s="17">
        <v>44758</v>
      </c>
      <c r="E557" s="16" t="s">
        <v>1683</v>
      </c>
      <c r="F557" s="16" t="s">
        <v>1680</v>
      </c>
      <c r="G557" s="32">
        <v>250</v>
      </c>
      <c r="H557" s="16" t="s">
        <v>21</v>
      </c>
      <c r="I557" s="18">
        <v>1</v>
      </c>
      <c r="J557" s="19">
        <f ca="1">RAND()</f>
        <v>0.91389926533021748</v>
      </c>
      <c r="K557" s="32">
        <f t="shared" si="24"/>
        <v>250</v>
      </c>
      <c r="L557" s="32">
        <f t="shared" ca="1" si="25"/>
        <v>22</v>
      </c>
      <c r="M557" s="37">
        <f t="shared" ca="1" si="26"/>
        <v>-228</v>
      </c>
    </row>
    <row r="558" spans="2:13">
      <c r="B558" s="12" t="s">
        <v>1171</v>
      </c>
      <c r="C558" s="12" t="s">
        <v>1666</v>
      </c>
      <c r="D558" s="13">
        <v>44800</v>
      </c>
      <c r="E558" s="12" t="s">
        <v>1684</v>
      </c>
      <c r="F558" s="12" t="s">
        <v>1682</v>
      </c>
      <c r="G558" s="31">
        <v>130</v>
      </c>
      <c r="H558" s="12" t="s">
        <v>26</v>
      </c>
      <c r="I558" s="14">
        <v>3</v>
      </c>
      <c r="J558" s="15">
        <f ca="1">RAND()</f>
        <v>0.49399197882869939</v>
      </c>
      <c r="K558" s="31">
        <f t="shared" si="24"/>
        <v>390</v>
      </c>
      <c r="L558" s="31">
        <f t="shared" ca="1" si="25"/>
        <v>197</v>
      </c>
      <c r="M558" s="36">
        <f t="shared" ca="1" si="26"/>
        <v>-193</v>
      </c>
    </row>
    <row r="559" spans="2:13">
      <c r="B559" s="16" t="s">
        <v>1173</v>
      </c>
      <c r="C559" s="16" t="s">
        <v>1668</v>
      </c>
      <c r="D559" s="17">
        <v>44780</v>
      </c>
      <c r="E559" s="16" t="s">
        <v>1685</v>
      </c>
      <c r="F559" s="16" t="s">
        <v>1680</v>
      </c>
      <c r="G559" s="32">
        <v>60</v>
      </c>
      <c r="H559" s="16" t="s">
        <v>32</v>
      </c>
      <c r="I559" s="18">
        <v>7</v>
      </c>
      <c r="J559" s="19">
        <f ca="1">RAND()</f>
        <v>0.81544721584095103</v>
      </c>
      <c r="K559" s="32">
        <f t="shared" si="24"/>
        <v>420</v>
      </c>
      <c r="L559" s="32">
        <f t="shared" ca="1" si="25"/>
        <v>78</v>
      </c>
      <c r="M559" s="37">
        <f t="shared" ca="1" si="26"/>
        <v>-342</v>
      </c>
    </row>
    <row r="560" spans="2:13">
      <c r="B560" s="12" t="s">
        <v>1175</v>
      </c>
      <c r="C560" s="12" t="s">
        <v>1660</v>
      </c>
      <c r="D560" s="13">
        <v>44807</v>
      </c>
      <c r="E560" s="12" t="s">
        <v>1679</v>
      </c>
      <c r="F560" s="12" t="s">
        <v>1682</v>
      </c>
      <c r="G560" s="31">
        <v>72</v>
      </c>
      <c r="H560" s="12" t="s">
        <v>21</v>
      </c>
      <c r="I560" s="14">
        <v>12</v>
      </c>
      <c r="J560" s="15">
        <f ca="1">RAND()</f>
        <v>0.52411953176594872</v>
      </c>
      <c r="K560" s="31">
        <f t="shared" si="24"/>
        <v>864</v>
      </c>
      <c r="L560" s="31">
        <f t="shared" ca="1" si="25"/>
        <v>411</v>
      </c>
      <c r="M560" s="36">
        <f t="shared" ca="1" si="26"/>
        <v>-453</v>
      </c>
    </row>
    <row r="561" spans="2:13">
      <c r="B561" s="16" t="s">
        <v>1177</v>
      </c>
      <c r="C561" s="16" t="s">
        <v>1662</v>
      </c>
      <c r="D561" s="17">
        <v>44798</v>
      </c>
      <c r="E561" s="16" t="s">
        <v>1681</v>
      </c>
      <c r="F561" s="16" t="s">
        <v>1680</v>
      </c>
      <c r="G561" s="32">
        <v>65</v>
      </c>
      <c r="H561" s="16" t="s">
        <v>26</v>
      </c>
      <c r="I561" s="18">
        <v>12</v>
      </c>
      <c r="J561" s="19">
        <f ca="1">RAND()</f>
        <v>0.73513821981512717</v>
      </c>
      <c r="K561" s="32">
        <f t="shared" si="24"/>
        <v>780</v>
      </c>
      <c r="L561" s="32">
        <f t="shared" ca="1" si="25"/>
        <v>207</v>
      </c>
      <c r="M561" s="37">
        <f t="shared" ca="1" si="26"/>
        <v>-573</v>
      </c>
    </row>
    <row r="562" spans="2:13">
      <c r="B562" s="12" t="s">
        <v>1179</v>
      </c>
      <c r="C562" s="12" t="s">
        <v>1664</v>
      </c>
      <c r="D562" s="13">
        <v>44810</v>
      </c>
      <c r="E562" s="12" t="s">
        <v>1683</v>
      </c>
      <c r="F562" s="12" t="s">
        <v>1682</v>
      </c>
      <c r="G562" s="31">
        <v>250</v>
      </c>
      <c r="H562" s="12" t="s">
        <v>32</v>
      </c>
      <c r="I562" s="14">
        <v>3</v>
      </c>
      <c r="J562" s="15">
        <f ca="1">RAND()</f>
        <v>0.12550877676338956</v>
      </c>
      <c r="K562" s="31">
        <f t="shared" si="24"/>
        <v>750</v>
      </c>
      <c r="L562" s="31">
        <f t="shared" ca="1" si="25"/>
        <v>656</v>
      </c>
      <c r="M562" s="36">
        <f t="shared" ca="1" si="26"/>
        <v>-94</v>
      </c>
    </row>
    <row r="563" spans="2:13">
      <c r="B563" s="16" t="s">
        <v>1181</v>
      </c>
      <c r="C563" s="16" t="s">
        <v>1666</v>
      </c>
      <c r="D563" s="17">
        <v>44764</v>
      </c>
      <c r="E563" s="16" t="s">
        <v>1684</v>
      </c>
      <c r="F563" s="16" t="s">
        <v>1680</v>
      </c>
      <c r="G563" s="32">
        <v>130</v>
      </c>
      <c r="H563" s="16" t="s">
        <v>21</v>
      </c>
      <c r="I563" s="18">
        <v>5</v>
      </c>
      <c r="J563" s="19">
        <f ca="1">RAND()</f>
        <v>4.7444491923966159E-2</v>
      </c>
      <c r="K563" s="32">
        <f t="shared" si="24"/>
        <v>650</v>
      </c>
      <c r="L563" s="32">
        <f t="shared" ca="1" si="25"/>
        <v>619</v>
      </c>
      <c r="M563" s="37">
        <f t="shared" ca="1" si="26"/>
        <v>-31</v>
      </c>
    </row>
    <row r="564" spans="2:13">
      <c r="B564" s="12" t="s">
        <v>1183</v>
      </c>
      <c r="C564" s="12" t="s">
        <v>1660</v>
      </c>
      <c r="D564" s="13">
        <v>44766</v>
      </c>
      <c r="E564" s="12" t="s">
        <v>1679</v>
      </c>
      <c r="F564" s="12" t="s">
        <v>1682</v>
      </c>
      <c r="G564" s="31">
        <v>72</v>
      </c>
      <c r="H564" s="12" t="s">
        <v>26</v>
      </c>
      <c r="I564" s="14">
        <v>4</v>
      </c>
      <c r="J564" s="15">
        <f ca="1">RAND()</f>
        <v>0.63913228409722367</v>
      </c>
      <c r="K564" s="31">
        <f t="shared" si="24"/>
        <v>288</v>
      </c>
      <c r="L564" s="31">
        <f t="shared" ca="1" si="25"/>
        <v>104</v>
      </c>
      <c r="M564" s="36">
        <f t="shared" ca="1" si="26"/>
        <v>-184</v>
      </c>
    </row>
    <row r="565" spans="2:13">
      <c r="B565" s="16" t="s">
        <v>1185</v>
      </c>
      <c r="C565" s="16" t="s">
        <v>1662</v>
      </c>
      <c r="D565" s="17">
        <v>44794</v>
      </c>
      <c r="E565" s="16" t="s">
        <v>1681</v>
      </c>
      <c r="F565" s="16" t="s">
        <v>1680</v>
      </c>
      <c r="G565" s="32">
        <v>65</v>
      </c>
      <c r="H565" s="16" t="s">
        <v>32</v>
      </c>
      <c r="I565" s="18">
        <v>9</v>
      </c>
      <c r="J565" s="19">
        <f ca="1">RAND()</f>
        <v>0.48879204343638416</v>
      </c>
      <c r="K565" s="32">
        <f t="shared" si="24"/>
        <v>585</v>
      </c>
      <c r="L565" s="32">
        <f t="shared" ca="1" si="25"/>
        <v>299</v>
      </c>
      <c r="M565" s="37">
        <f t="shared" ca="1" si="26"/>
        <v>-286</v>
      </c>
    </row>
    <row r="566" spans="2:13">
      <c r="B566" s="12" t="s">
        <v>1187</v>
      </c>
      <c r="C566" s="12" t="s">
        <v>1664</v>
      </c>
      <c r="D566" s="13">
        <v>44800</v>
      </c>
      <c r="E566" s="12" t="s">
        <v>1683</v>
      </c>
      <c r="F566" s="12" t="s">
        <v>1682</v>
      </c>
      <c r="G566" s="31">
        <v>250</v>
      </c>
      <c r="H566" s="12" t="s">
        <v>21</v>
      </c>
      <c r="I566" s="14">
        <v>3</v>
      </c>
      <c r="J566" s="15">
        <f ca="1">RAND()</f>
        <v>0.14798012197013799</v>
      </c>
      <c r="K566" s="31">
        <f t="shared" si="24"/>
        <v>750</v>
      </c>
      <c r="L566" s="31">
        <f t="shared" ca="1" si="25"/>
        <v>639</v>
      </c>
      <c r="M566" s="36">
        <f t="shared" ca="1" si="26"/>
        <v>-111</v>
      </c>
    </row>
    <row r="567" spans="2:13">
      <c r="B567" s="16" t="s">
        <v>1189</v>
      </c>
      <c r="C567" s="16" t="s">
        <v>1666</v>
      </c>
      <c r="D567" s="17">
        <v>44792</v>
      </c>
      <c r="E567" s="16" t="s">
        <v>1684</v>
      </c>
      <c r="F567" s="16" t="s">
        <v>1680</v>
      </c>
      <c r="G567" s="32">
        <v>130</v>
      </c>
      <c r="H567" s="16" t="s">
        <v>26</v>
      </c>
      <c r="I567" s="18">
        <v>5</v>
      </c>
      <c r="J567" s="19">
        <f ca="1">RAND()</f>
        <v>0.48340904149037778</v>
      </c>
      <c r="K567" s="32">
        <f t="shared" si="24"/>
        <v>650</v>
      </c>
      <c r="L567" s="32">
        <f t="shared" ca="1" si="25"/>
        <v>336</v>
      </c>
      <c r="M567" s="37">
        <f t="shared" ca="1" si="26"/>
        <v>-314</v>
      </c>
    </row>
    <row r="568" spans="2:13">
      <c r="B568" s="12" t="s">
        <v>1191</v>
      </c>
      <c r="C568" s="12" t="s">
        <v>1668</v>
      </c>
      <c r="D568" s="13">
        <v>44809</v>
      </c>
      <c r="E568" s="12" t="s">
        <v>1685</v>
      </c>
      <c r="F568" s="12" t="s">
        <v>1680</v>
      </c>
      <c r="G568" s="31">
        <v>60</v>
      </c>
      <c r="H568" s="12" t="s">
        <v>32</v>
      </c>
      <c r="I568" s="14">
        <v>4</v>
      </c>
      <c r="J568" s="15">
        <f ca="1">RAND()</f>
        <v>0.98851180161496399</v>
      </c>
      <c r="K568" s="31">
        <f t="shared" si="24"/>
        <v>240</v>
      </c>
      <c r="L568" s="31">
        <f t="shared" ca="1" si="25"/>
        <v>3</v>
      </c>
      <c r="M568" s="36">
        <f t="shared" ca="1" si="26"/>
        <v>-237</v>
      </c>
    </row>
    <row r="569" spans="2:13">
      <c r="B569" s="16" t="s">
        <v>1193</v>
      </c>
      <c r="C569" s="16" t="s">
        <v>1669</v>
      </c>
      <c r="D569" s="17">
        <v>44789</v>
      </c>
      <c r="E569" s="16" t="s">
        <v>1686</v>
      </c>
      <c r="F569" s="16" t="s">
        <v>1682</v>
      </c>
      <c r="G569" s="32">
        <v>95</v>
      </c>
      <c r="H569" s="16" t="s">
        <v>21</v>
      </c>
      <c r="I569" s="18">
        <v>8</v>
      </c>
      <c r="J569" s="19">
        <f ca="1">RAND()</f>
        <v>2.7192688587198921E-2</v>
      </c>
      <c r="K569" s="32">
        <f t="shared" si="24"/>
        <v>760</v>
      </c>
      <c r="L569" s="32">
        <f t="shared" ca="1" si="25"/>
        <v>739</v>
      </c>
      <c r="M569" s="37">
        <f t="shared" ca="1" si="26"/>
        <v>-21</v>
      </c>
    </row>
    <row r="570" spans="2:13">
      <c r="B570" s="12" t="s">
        <v>1195</v>
      </c>
      <c r="C570" s="12" t="s">
        <v>1660</v>
      </c>
      <c r="D570" s="13">
        <v>44757</v>
      </c>
      <c r="E570" s="12" t="s">
        <v>1679</v>
      </c>
      <c r="F570" s="12" t="s">
        <v>1682</v>
      </c>
      <c r="G570" s="31">
        <v>72</v>
      </c>
      <c r="H570" s="12" t="s">
        <v>26</v>
      </c>
      <c r="I570" s="14">
        <v>9</v>
      </c>
      <c r="J570" s="15">
        <f ca="1">RAND()</f>
        <v>0.21890495811827515</v>
      </c>
      <c r="K570" s="31">
        <f t="shared" si="24"/>
        <v>648</v>
      </c>
      <c r="L570" s="31">
        <f t="shared" ca="1" si="25"/>
        <v>506</v>
      </c>
      <c r="M570" s="36">
        <f t="shared" ca="1" si="26"/>
        <v>-142</v>
      </c>
    </row>
    <row r="571" spans="2:13">
      <c r="B571" s="16" t="s">
        <v>1197</v>
      </c>
      <c r="C571" s="16" t="s">
        <v>1662</v>
      </c>
      <c r="D571" s="17">
        <v>44790</v>
      </c>
      <c r="E571" s="16" t="s">
        <v>1681</v>
      </c>
      <c r="F571" s="16" t="s">
        <v>1682</v>
      </c>
      <c r="G571" s="32">
        <v>65</v>
      </c>
      <c r="H571" s="16" t="s">
        <v>32</v>
      </c>
      <c r="I571" s="18">
        <v>6</v>
      </c>
      <c r="J571" s="19">
        <f ca="1">RAND()</f>
        <v>0.32059352127413809</v>
      </c>
      <c r="K571" s="32">
        <f t="shared" si="24"/>
        <v>390</v>
      </c>
      <c r="L571" s="32">
        <f t="shared" ca="1" si="25"/>
        <v>265</v>
      </c>
      <c r="M571" s="37">
        <f t="shared" ca="1" si="26"/>
        <v>-125</v>
      </c>
    </row>
    <row r="572" spans="2:13">
      <c r="B572" s="12" t="s">
        <v>1199</v>
      </c>
      <c r="C572" s="12" t="s">
        <v>1664</v>
      </c>
      <c r="D572" s="13">
        <v>44808</v>
      </c>
      <c r="E572" s="12" t="s">
        <v>1683</v>
      </c>
      <c r="F572" s="12" t="s">
        <v>1680</v>
      </c>
      <c r="G572" s="31">
        <v>250</v>
      </c>
      <c r="H572" s="12" t="s">
        <v>21</v>
      </c>
      <c r="I572" s="14">
        <v>4</v>
      </c>
      <c r="J572" s="15">
        <f ca="1">RAND()</f>
        <v>0.9232803272481156</v>
      </c>
      <c r="K572" s="31">
        <f t="shared" si="24"/>
        <v>1000</v>
      </c>
      <c r="L572" s="31">
        <f t="shared" ca="1" si="25"/>
        <v>77</v>
      </c>
      <c r="M572" s="36">
        <f t="shared" ca="1" si="26"/>
        <v>-923</v>
      </c>
    </row>
    <row r="573" spans="2:13">
      <c r="B573" s="16" t="s">
        <v>1201</v>
      </c>
      <c r="C573" s="16" t="s">
        <v>1666</v>
      </c>
      <c r="D573" s="17">
        <v>44801</v>
      </c>
      <c r="E573" s="16" t="s">
        <v>1684</v>
      </c>
      <c r="F573" s="16" t="s">
        <v>1680</v>
      </c>
      <c r="G573" s="32">
        <v>130</v>
      </c>
      <c r="H573" s="16" t="s">
        <v>26</v>
      </c>
      <c r="I573" s="18">
        <v>4</v>
      </c>
      <c r="J573" s="19">
        <f ca="1">RAND()</f>
        <v>0.32088663246865901</v>
      </c>
      <c r="K573" s="32">
        <f t="shared" si="24"/>
        <v>520</v>
      </c>
      <c r="L573" s="32">
        <f t="shared" ca="1" si="25"/>
        <v>353</v>
      </c>
      <c r="M573" s="37">
        <f t="shared" ca="1" si="26"/>
        <v>-167</v>
      </c>
    </row>
    <row r="574" spans="2:13">
      <c r="B574" s="12" t="s">
        <v>1203</v>
      </c>
      <c r="C574" s="12" t="s">
        <v>1660</v>
      </c>
      <c r="D574" s="13">
        <v>44769</v>
      </c>
      <c r="E574" s="12" t="s">
        <v>1679</v>
      </c>
      <c r="F574" s="12" t="s">
        <v>1680</v>
      </c>
      <c r="G574" s="31">
        <v>72</v>
      </c>
      <c r="H574" s="12" t="s">
        <v>32</v>
      </c>
      <c r="I574" s="14">
        <v>9</v>
      </c>
      <c r="J574" s="15">
        <f ca="1">RAND()</f>
        <v>0.36276514275948279</v>
      </c>
      <c r="K574" s="31">
        <f t="shared" si="24"/>
        <v>648</v>
      </c>
      <c r="L574" s="31">
        <f t="shared" ca="1" si="25"/>
        <v>413</v>
      </c>
      <c r="M574" s="36">
        <f t="shared" ca="1" si="26"/>
        <v>-235</v>
      </c>
    </row>
    <row r="575" spans="2:13">
      <c r="B575" s="16" t="s">
        <v>1205</v>
      </c>
      <c r="C575" s="16" t="s">
        <v>1662</v>
      </c>
      <c r="D575" s="17">
        <v>44757</v>
      </c>
      <c r="E575" s="16" t="s">
        <v>1681</v>
      </c>
      <c r="F575" s="16" t="s">
        <v>1680</v>
      </c>
      <c r="G575" s="32">
        <v>65</v>
      </c>
      <c r="H575" s="16" t="s">
        <v>21</v>
      </c>
      <c r="I575" s="18">
        <v>8</v>
      </c>
      <c r="J575" s="19">
        <f ca="1">RAND()</f>
        <v>0.66718828879514058</v>
      </c>
      <c r="K575" s="32">
        <f t="shared" si="24"/>
        <v>520</v>
      </c>
      <c r="L575" s="32">
        <f t="shared" ca="1" si="25"/>
        <v>173</v>
      </c>
      <c r="M575" s="37">
        <f t="shared" ca="1" si="26"/>
        <v>-347</v>
      </c>
    </row>
    <row r="576" spans="2:13">
      <c r="B576" s="12" t="s">
        <v>1207</v>
      </c>
      <c r="C576" s="12" t="s">
        <v>1664</v>
      </c>
      <c r="D576" s="13">
        <v>44759</v>
      </c>
      <c r="E576" s="12" t="s">
        <v>1683</v>
      </c>
      <c r="F576" s="12" t="s">
        <v>1680</v>
      </c>
      <c r="G576" s="31">
        <v>250</v>
      </c>
      <c r="H576" s="12" t="s">
        <v>26</v>
      </c>
      <c r="I576" s="14">
        <v>1</v>
      </c>
      <c r="J576" s="15">
        <f ca="1">RAND()</f>
        <v>0.4206168197081499</v>
      </c>
      <c r="K576" s="31">
        <f t="shared" si="24"/>
        <v>250</v>
      </c>
      <c r="L576" s="31">
        <f t="shared" ca="1" si="25"/>
        <v>145</v>
      </c>
      <c r="M576" s="36">
        <f t="shared" ca="1" si="26"/>
        <v>-105</v>
      </c>
    </row>
    <row r="577" spans="2:13">
      <c r="B577" s="16" t="s">
        <v>1209</v>
      </c>
      <c r="C577" s="16" t="s">
        <v>1666</v>
      </c>
      <c r="D577" s="17">
        <v>44805</v>
      </c>
      <c r="E577" s="16" t="s">
        <v>1684</v>
      </c>
      <c r="F577" s="16" t="s">
        <v>1680</v>
      </c>
      <c r="G577" s="32">
        <v>130</v>
      </c>
      <c r="H577" s="16" t="s">
        <v>32</v>
      </c>
      <c r="I577" s="18">
        <v>3</v>
      </c>
      <c r="J577" s="19">
        <f ca="1">RAND()</f>
        <v>0.51964897038007529</v>
      </c>
      <c r="K577" s="32">
        <f t="shared" si="24"/>
        <v>390</v>
      </c>
      <c r="L577" s="32">
        <f t="shared" ca="1" si="25"/>
        <v>187</v>
      </c>
      <c r="M577" s="37">
        <f t="shared" ca="1" si="26"/>
        <v>-203</v>
      </c>
    </row>
    <row r="578" spans="2:13">
      <c r="B578" s="12" t="s">
        <v>1211</v>
      </c>
      <c r="C578" s="12" t="s">
        <v>1668</v>
      </c>
      <c r="D578" s="13">
        <v>44760</v>
      </c>
      <c r="E578" s="12" t="s">
        <v>1685</v>
      </c>
      <c r="F578" s="12" t="s">
        <v>1680</v>
      </c>
      <c r="G578" s="31">
        <v>60</v>
      </c>
      <c r="H578" s="12" t="s">
        <v>21</v>
      </c>
      <c r="I578" s="14">
        <v>13</v>
      </c>
      <c r="J578" s="15">
        <f ca="1">RAND()</f>
        <v>0.17728832602118638</v>
      </c>
      <c r="K578" s="31">
        <f t="shared" si="24"/>
        <v>780</v>
      </c>
      <c r="L578" s="31">
        <f t="shared" ca="1" si="25"/>
        <v>642</v>
      </c>
      <c r="M578" s="36">
        <f t="shared" ca="1" si="26"/>
        <v>-138</v>
      </c>
    </row>
    <row r="579" spans="2:13">
      <c r="B579" s="16" t="s">
        <v>1213</v>
      </c>
      <c r="C579" s="16" t="s">
        <v>1660</v>
      </c>
      <c r="D579" s="17">
        <v>44791</v>
      </c>
      <c r="E579" s="16" t="s">
        <v>1679</v>
      </c>
      <c r="F579" s="16" t="s">
        <v>1680</v>
      </c>
      <c r="G579" s="32">
        <v>72</v>
      </c>
      <c r="H579" s="16" t="s">
        <v>26</v>
      </c>
      <c r="I579" s="18">
        <v>4</v>
      </c>
      <c r="J579" s="19">
        <f ca="1">RAND()</f>
        <v>0.27203730748009802</v>
      </c>
      <c r="K579" s="32">
        <f t="shared" si="24"/>
        <v>288</v>
      </c>
      <c r="L579" s="32">
        <f t="shared" ca="1" si="25"/>
        <v>210</v>
      </c>
      <c r="M579" s="37">
        <f t="shared" ca="1" si="26"/>
        <v>-78</v>
      </c>
    </row>
    <row r="580" spans="2:13">
      <c r="B580" s="12" t="s">
        <v>1215</v>
      </c>
      <c r="C580" s="12" t="s">
        <v>1662</v>
      </c>
      <c r="D580" s="13">
        <v>44768</v>
      </c>
      <c r="E580" s="12" t="s">
        <v>1681</v>
      </c>
      <c r="F580" s="12" t="s">
        <v>1680</v>
      </c>
      <c r="G580" s="31">
        <v>65</v>
      </c>
      <c r="H580" s="12" t="s">
        <v>32</v>
      </c>
      <c r="I580" s="14">
        <v>12</v>
      </c>
      <c r="J580" s="15">
        <f ca="1">RAND()</f>
        <v>0.3054564830067672</v>
      </c>
      <c r="K580" s="31">
        <f t="shared" si="24"/>
        <v>780</v>
      </c>
      <c r="L580" s="31">
        <f t="shared" ca="1" si="25"/>
        <v>542</v>
      </c>
      <c r="M580" s="36">
        <f t="shared" ca="1" si="26"/>
        <v>-238</v>
      </c>
    </row>
    <row r="581" spans="2:13">
      <c r="B581" s="16" t="s">
        <v>1217</v>
      </c>
      <c r="C581" s="16" t="s">
        <v>1664</v>
      </c>
      <c r="D581" s="17">
        <v>44759</v>
      </c>
      <c r="E581" s="16" t="s">
        <v>1683</v>
      </c>
      <c r="F581" s="16" t="s">
        <v>1682</v>
      </c>
      <c r="G581" s="32">
        <v>250</v>
      </c>
      <c r="H581" s="16" t="s">
        <v>21</v>
      </c>
      <c r="I581" s="18">
        <v>3</v>
      </c>
      <c r="J581" s="19">
        <f ca="1">RAND()</f>
        <v>8.360248213010224E-2</v>
      </c>
      <c r="K581" s="32">
        <f t="shared" si="24"/>
        <v>750</v>
      </c>
      <c r="L581" s="32">
        <f t="shared" ca="1" si="25"/>
        <v>687</v>
      </c>
      <c r="M581" s="37">
        <f t="shared" ca="1" si="26"/>
        <v>-63</v>
      </c>
    </row>
    <row r="582" spans="2:13">
      <c r="B582" s="12" t="s">
        <v>1219</v>
      </c>
      <c r="C582" s="12" t="s">
        <v>1666</v>
      </c>
      <c r="D582" s="13">
        <v>44781</v>
      </c>
      <c r="E582" s="12" t="s">
        <v>1684</v>
      </c>
      <c r="F582" s="12" t="s">
        <v>1680</v>
      </c>
      <c r="G582" s="31">
        <v>130</v>
      </c>
      <c r="H582" s="12" t="s">
        <v>26</v>
      </c>
      <c r="I582" s="14">
        <v>6</v>
      </c>
      <c r="J582" s="15">
        <f ca="1">RAND()</f>
        <v>0.32765287527668696</v>
      </c>
      <c r="K582" s="31">
        <f t="shared" ref="K582:K645" si="27">PRODUCT(I582,G582)</f>
        <v>780</v>
      </c>
      <c r="L582" s="31">
        <f t="shared" ref="L582:L645" ca="1" si="28">ROUND(K582*(1-J582),0)</f>
        <v>524</v>
      </c>
      <c r="M582" s="36">
        <f t="shared" ca="1" si="26"/>
        <v>-256</v>
      </c>
    </row>
    <row r="583" spans="2:13">
      <c r="B583" s="16" t="s">
        <v>1221</v>
      </c>
      <c r="C583" s="16" t="s">
        <v>1660</v>
      </c>
      <c r="D583" s="17">
        <v>44785</v>
      </c>
      <c r="E583" s="16" t="s">
        <v>1679</v>
      </c>
      <c r="F583" s="16" t="s">
        <v>1680</v>
      </c>
      <c r="G583" s="32">
        <v>72</v>
      </c>
      <c r="H583" s="16" t="s">
        <v>32</v>
      </c>
      <c r="I583" s="18">
        <v>5</v>
      </c>
      <c r="J583" s="19">
        <f ca="1">RAND()</f>
        <v>0.74672661055928335</v>
      </c>
      <c r="K583" s="32">
        <f t="shared" si="27"/>
        <v>360</v>
      </c>
      <c r="L583" s="32">
        <f t="shared" ca="1" si="28"/>
        <v>91</v>
      </c>
      <c r="M583" s="37">
        <f t="shared" ref="M583:M646" ca="1" si="29">ROUND(L583-K583,0)</f>
        <v>-269</v>
      </c>
    </row>
    <row r="584" spans="2:13">
      <c r="B584" s="12" t="s">
        <v>1223</v>
      </c>
      <c r="C584" s="12" t="s">
        <v>1662</v>
      </c>
      <c r="D584" s="13">
        <v>44775</v>
      </c>
      <c r="E584" s="12" t="s">
        <v>1681</v>
      </c>
      <c r="F584" s="12" t="s">
        <v>1680</v>
      </c>
      <c r="G584" s="31">
        <v>65</v>
      </c>
      <c r="H584" s="12" t="s">
        <v>21</v>
      </c>
      <c r="I584" s="14">
        <v>11</v>
      </c>
      <c r="J584" s="15">
        <f ca="1">RAND()</f>
        <v>3.9543088999245635E-2</v>
      </c>
      <c r="K584" s="31">
        <f t="shared" si="27"/>
        <v>715</v>
      </c>
      <c r="L584" s="31">
        <f t="shared" ca="1" si="28"/>
        <v>687</v>
      </c>
      <c r="M584" s="36">
        <f t="shared" ca="1" si="29"/>
        <v>-28</v>
      </c>
    </row>
    <row r="585" spans="2:13">
      <c r="B585" s="16" t="s">
        <v>1225</v>
      </c>
      <c r="C585" s="16" t="s">
        <v>1664</v>
      </c>
      <c r="D585" s="17">
        <v>44773</v>
      </c>
      <c r="E585" s="16" t="s">
        <v>1683</v>
      </c>
      <c r="F585" s="16" t="s">
        <v>1680</v>
      </c>
      <c r="G585" s="32">
        <v>250</v>
      </c>
      <c r="H585" s="16" t="s">
        <v>26</v>
      </c>
      <c r="I585" s="18">
        <v>2</v>
      </c>
      <c r="J585" s="19">
        <f ca="1">RAND()</f>
        <v>0.5293410560825893</v>
      </c>
      <c r="K585" s="32">
        <f t="shared" si="27"/>
        <v>500</v>
      </c>
      <c r="L585" s="32">
        <f t="shared" ca="1" si="28"/>
        <v>235</v>
      </c>
      <c r="M585" s="37">
        <f t="shared" ca="1" si="29"/>
        <v>-265</v>
      </c>
    </row>
    <row r="586" spans="2:13">
      <c r="B586" s="12" t="s">
        <v>1227</v>
      </c>
      <c r="C586" s="12" t="s">
        <v>1666</v>
      </c>
      <c r="D586" s="13">
        <v>44796</v>
      </c>
      <c r="E586" s="12" t="s">
        <v>1684</v>
      </c>
      <c r="F586" s="12" t="s">
        <v>1680</v>
      </c>
      <c r="G586" s="31">
        <v>130</v>
      </c>
      <c r="H586" s="12" t="s">
        <v>32</v>
      </c>
      <c r="I586" s="14">
        <v>2</v>
      </c>
      <c r="J586" s="15">
        <f ca="1">RAND()</f>
        <v>0.73378954697378695</v>
      </c>
      <c r="K586" s="31">
        <f t="shared" si="27"/>
        <v>260</v>
      </c>
      <c r="L586" s="31">
        <f t="shared" ca="1" si="28"/>
        <v>69</v>
      </c>
      <c r="M586" s="36">
        <f t="shared" ca="1" si="29"/>
        <v>-191</v>
      </c>
    </row>
    <row r="587" spans="2:13">
      <c r="B587" s="16" t="s">
        <v>1229</v>
      </c>
      <c r="C587" s="16" t="s">
        <v>1668</v>
      </c>
      <c r="D587" s="17">
        <v>44801</v>
      </c>
      <c r="E587" s="16" t="s">
        <v>1685</v>
      </c>
      <c r="F587" s="16" t="s">
        <v>1682</v>
      </c>
      <c r="G587" s="32">
        <v>60</v>
      </c>
      <c r="H587" s="16" t="s">
        <v>21</v>
      </c>
      <c r="I587" s="18">
        <v>10</v>
      </c>
      <c r="J587" s="19">
        <f ca="1">RAND()</f>
        <v>0.56633607827936905</v>
      </c>
      <c r="K587" s="32">
        <f t="shared" si="27"/>
        <v>600</v>
      </c>
      <c r="L587" s="32">
        <f t="shared" ca="1" si="28"/>
        <v>260</v>
      </c>
      <c r="M587" s="37">
        <f t="shared" ca="1" si="29"/>
        <v>-340</v>
      </c>
    </row>
    <row r="588" spans="2:13">
      <c r="B588" s="12" t="s">
        <v>1231</v>
      </c>
      <c r="C588" s="12" t="s">
        <v>1669</v>
      </c>
      <c r="D588" s="13">
        <v>44779</v>
      </c>
      <c r="E588" s="12" t="s">
        <v>1686</v>
      </c>
      <c r="F588" s="12" t="s">
        <v>1680</v>
      </c>
      <c r="G588" s="31">
        <v>95</v>
      </c>
      <c r="H588" s="12" t="s">
        <v>26</v>
      </c>
      <c r="I588" s="14">
        <v>6</v>
      </c>
      <c r="J588" s="15">
        <f ca="1">RAND()</f>
        <v>0.39822783440184573</v>
      </c>
      <c r="K588" s="31">
        <f t="shared" si="27"/>
        <v>570</v>
      </c>
      <c r="L588" s="31">
        <f t="shared" ca="1" si="28"/>
        <v>343</v>
      </c>
      <c r="M588" s="36">
        <f t="shared" ca="1" si="29"/>
        <v>-227</v>
      </c>
    </row>
    <row r="589" spans="2:13">
      <c r="B589" s="16" t="s">
        <v>1233</v>
      </c>
      <c r="C589" s="16" t="s">
        <v>1660</v>
      </c>
      <c r="D589" s="17">
        <v>44772</v>
      </c>
      <c r="E589" s="16" t="s">
        <v>1679</v>
      </c>
      <c r="F589" s="16" t="s">
        <v>1680</v>
      </c>
      <c r="G589" s="32">
        <v>72</v>
      </c>
      <c r="H589" s="16" t="s">
        <v>32</v>
      </c>
      <c r="I589" s="18">
        <v>7</v>
      </c>
      <c r="J589" s="19">
        <f ca="1">RAND()</f>
        <v>0.51370130779523338</v>
      </c>
      <c r="K589" s="32">
        <f t="shared" si="27"/>
        <v>504</v>
      </c>
      <c r="L589" s="32">
        <f t="shared" ca="1" si="28"/>
        <v>245</v>
      </c>
      <c r="M589" s="37">
        <f t="shared" ca="1" si="29"/>
        <v>-259</v>
      </c>
    </row>
    <row r="590" spans="2:13">
      <c r="B590" s="12" t="s">
        <v>1235</v>
      </c>
      <c r="C590" s="12" t="s">
        <v>1662</v>
      </c>
      <c r="D590" s="13">
        <v>44757</v>
      </c>
      <c r="E590" s="12" t="s">
        <v>1681</v>
      </c>
      <c r="F590" s="12" t="s">
        <v>1680</v>
      </c>
      <c r="G590" s="31">
        <v>65</v>
      </c>
      <c r="H590" s="12" t="s">
        <v>21</v>
      </c>
      <c r="I590" s="14">
        <v>8</v>
      </c>
      <c r="J590" s="15">
        <f ca="1">RAND()</f>
        <v>0.10726110555813251</v>
      </c>
      <c r="K590" s="31">
        <f t="shared" si="27"/>
        <v>520</v>
      </c>
      <c r="L590" s="31">
        <f t="shared" ca="1" si="28"/>
        <v>464</v>
      </c>
      <c r="M590" s="36">
        <f t="shared" ca="1" si="29"/>
        <v>-56</v>
      </c>
    </row>
    <row r="591" spans="2:13">
      <c r="B591" s="16" t="s">
        <v>1237</v>
      </c>
      <c r="C591" s="16" t="s">
        <v>1664</v>
      </c>
      <c r="D591" s="17">
        <v>44808</v>
      </c>
      <c r="E591" s="16" t="s">
        <v>1683</v>
      </c>
      <c r="F591" s="16" t="s">
        <v>1682</v>
      </c>
      <c r="G591" s="32">
        <v>250</v>
      </c>
      <c r="H591" s="16" t="s">
        <v>26</v>
      </c>
      <c r="I591" s="18">
        <v>4</v>
      </c>
      <c r="J591" s="19">
        <f ca="1">RAND()</f>
        <v>0.25977536654979561</v>
      </c>
      <c r="K591" s="32">
        <f t="shared" si="27"/>
        <v>1000</v>
      </c>
      <c r="L591" s="32">
        <f t="shared" ca="1" si="28"/>
        <v>740</v>
      </c>
      <c r="M591" s="37">
        <f t="shared" ca="1" si="29"/>
        <v>-260</v>
      </c>
    </row>
    <row r="592" spans="2:13">
      <c r="B592" s="12" t="s">
        <v>1239</v>
      </c>
      <c r="C592" s="12" t="s">
        <v>1666</v>
      </c>
      <c r="D592" s="13">
        <v>44782</v>
      </c>
      <c r="E592" s="12" t="s">
        <v>1684</v>
      </c>
      <c r="F592" s="12" t="s">
        <v>1682</v>
      </c>
      <c r="G592" s="31">
        <v>130</v>
      </c>
      <c r="H592" s="12" t="s">
        <v>32</v>
      </c>
      <c r="I592" s="14">
        <v>6</v>
      </c>
      <c r="J592" s="15">
        <f ca="1">RAND()</f>
        <v>0.68750032942236583</v>
      </c>
      <c r="K592" s="31">
        <f t="shared" si="27"/>
        <v>780</v>
      </c>
      <c r="L592" s="31">
        <f t="shared" ca="1" si="28"/>
        <v>244</v>
      </c>
      <c r="M592" s="36">
        <f t="shared" ca="1" si="29"/>
        <v>-536</v>
      </c>
    </row>
    <row r="593" spans="2:13">
      <c r="B593" s="16" t="s">
        <v>1241</v>
      </c>
      <c r="C593" s="16" t="s">
        <v>1660</v>
      </c>
      <c r="D593" s="17">
        <v>44787</v>
      </c>
      <c r="E593" s="16" t="s">
        <v>1679</v>
      </c>
      <c r="F593" s="16" t="s">
        <v>1682</v>
      </c>
      <c r="G593" s="32">
        <v>72</v>
      </c>
      <c r="H593" s="16" t="s">
        <v>21</v>
      </c>
      <c r="I593" s="18">
        <v>4</v>
      </c>
      <c r="J593" s="19">
        <f ca="1">RAND()</f>
        <v>0.81617568735520329</v>
      </c>
      <c r="K593" s="32">
        <f t="shared" si="27"/>
        <v>288</v>
      </c>
      <c r="L593" s="32">
        <f t="shared" ca="1" si="28"/>
        <v>53</v>
      </c>
      <c r="M593" s="37">
        <f t="shared" ca="1" si="29"/>
        <v>-235</v>
      </c>
    </row>
    <row r="594" spans="2:13">
      <c r="B594" s="12" t="s">
        <v>1243</v>
      </c>
      <c r="C594" s="12" t="s">
        <v>1662</v>
      </c>
      <c r="D594" s="13">
        <v>44787</v>
      </c>
      <c r="E594" s="12" t="s">
        <v>1681</v>
      </c>
      <c r="F594" s="12" t="s">
        <v>1682</v>
      </c>
      <c r="G594" s="31">
        <v>65</v>
      </c>
      <c r="H594" s="12" t="s">
        <v>26</v>
      </c>
      <c r="I594" s="14">
        <v>9</v>
      </c>
      <c r="J594" s="15">
        <f ca="1">RAND()</f>
        <v>0.57305482344033876</v>
      </c>
      <c r="K594" s="31">
        <f t="shared" si="27"/>
        <v>585</v>
      </c>
      <c r="L594" s="31">
        <f t="shared" ca="1" si="28"/>
        <v>250</v>
      </c>
      <c r="M594" s="36">
        <f t="shared" ca="1" si="29"/>
        <v>-335</v>
      </c>
    </row>
    <row r="595" spans="2:13">
      <c r="B595" s="16" t="s">
        <v>1245</v>
      </c>
      <c r="C595" s="16" t="s">
        <v>1664</v>
      </c>
      <c r="D595" s="17">
        <v>44757</v>
      </c>
      <c r="E595" s="16" t="s">
        <v>1683</v>
      </c>
      <c r="F595" s="16" t="s">
        <v>1682</v>
      </c>
      <c r="G595" s="32">
        <v>250</v>
      </c>
      <c r="H595" s="16" t="s">
        <v>32</v>
      </c>
      <c r="I595" s="18">
        <v>1</v>
      </c>
      <c r="J595" s="19">
        <f ca="1">RAND()</f>
        <v>0.37023173269808007</v>
      </c>
      <c r="K595" s="32">
        <f t="shared" si="27"/>
        <v>250</v>
      </c>
      <c r="L595" s="32">
        <f t="shared" ca="1" si="28"/>
        <v>157</v>
      </c>
      <c r="M595" s="37">
        <f t="shared" ca="1" si="29"/>
        <v>-93</v>
      </c>
    </row>
    <row r="596" spans="2:13">
      <c r="B596" s="12" t="s">
        <v>1247</v>
      </c>
      <c r="C596" s="12" t="s">
        <v>1666</v>
      </c>
      <c r="D596" s="13">
        <v>44761</v>
      </c>
      <c r="E596" s="12" t="s">
        <v>1684</v>
      </c>
      <c r="F596" s="12" t="s">
        <v>1682</v>
      </c>
      <c r="G596" s="31">
        <v>130</v>
      </c>
      <c r="H596" s="12" t="s">
        <v>21</v>
      </c>
      <c r="I596" s="14">
        <v>3</v>
      </c>
      <c r="J596" s="15">
        <f ca="1">RAND()</f>
        <v>0.39668547559233391</v>
      </c>
      <c r="K596" s="31">
        <f t="shared" si="27"/>
        <v>390</v>
      </c>
      <c r="L596" s="31">
        <f t="shared" ca="1" si="28"/>
        <v>235</v>
      </c>
      <c r="M596" s="36">
        <f t="shared" ca="1" si="29"/>
        <v>-155</v>
      </c>
    </row>
    <row r="597" spans="2:13">
      <c r="B597" s="16" t="s">
        <v>1249</v>
      </c>
      <c r="C597" s="16" t="s">
        <v>1660</v>
      </c>
      <c r="D597" s="17">
        <v>44788</v>
      </c>
      <c r="E597" s="16" t="s">
        <v>1679</v>
      </c>
      <c r="F597" s="16" t="s">
        <v>1680</v>
      </c>
      <c r="G597" s="32">
        <v>72</v>
      </c>
      <c r="H597" s="16" t="s">
        <v>21</v>
      </c>
      <c r="I597" s="18">
        <v>6</v>
      </c>
      <c r="J597" s="19">
        <f ca="1">RAND()</f>
        <v>0.51879816677252921</v>
      </c>
      <c r="K597" s="32">
        <f t="shared" si="27"/>
        <v>432</v>
      </c>
      <c r="L597" s="32">
        <f t="shared" ca="1" si="28"/>
        <v>208</v>
      </c>
      <c r="M597" s="37">
        <f t="shared" ca="1" si="29"/>
        <v>-224</v>
      </c>
    </row>
    <row r="598" spans="2:13">
      <c r="B598" s="12" t="s">
        <v>1251</v>
      </c>
      <c r="C598" s="12" t="s">
        <v>1662</v>
      </c>
      <c r="D598" s="13">
        <v>44788</v>
      </c>
      <c r="E598" s="12" t="s">
        <v>1681</v>
      </c>
      <c r="F598" s="12" t="s">
        <v>1682</v>
      </c>
      <c r="G598" s="31">
        <v>65</v>
      </c>
      <c r="H598" s="12" t="s">
        <v>26</v>
      </c>
      <c r="I598" s="14">
        <v>13</v>
      </c>
      <c r="J598" s="15">
        <f ca="1">RAND()</f>
        <v>0.29843548531941932</v>
      </c>
      <c r="K598" s="31">
        <f t="shared" si="27"/>
        <v>845</v>
      </c>
      <c r="L598" s="31">
        <f t="shared" ca="1" si="28"/>
        <v>593</v>
      </c>
      <c r="M598" s="36">
        <f t="shared" ca="1" si="29"/>
        <v>-252</v>
      </c>
    </row>
    <row r="599" spans="2:13">
      <c r="B599" s="16" t="s">
        <v>1253</v>
      </c>
      <c r="C599" s="16" t="s">
        <v>1664</v>
      </c>
      <c r="D599" s="17">
        <v>44758</v>
      </c>
      <c r="E599" s="16" t="s">
        <v>1683</v>
      </c>
      <c r="F599" s="16" t="s">
        <v>1680</v>
      </c>
      <c r="G599" s="32">
        <v>250</v>
      </c>
      <c r="H599" s="16" t="s">
        <v>32</v>
      </c>
      <c r="I599" s="18">
        <v>1</v>
      </c>
      <c r="J599" s="19">
        <f ca="1">RAND()</f>
        <v>0.96042295921306864</v>
      </c>
      <c r="K599" s="32">
        <f t="shared" si="27"/>
        <v>250</v>
      </c>
      <c r="L599" s="32">
        <f t="shared" ca="1" si="28"/>
        <v>10</v>
      </c>
      <c r="M599" s="37">
        <f t="shared" ca="1" si="29"/>
        <v>-240</v>
      </c>
    </row>
    <row r="600" spans="2:13">
      <c r="B600" s="12" t="s">
        <v>1255</v>
      </c>
      <c r="C600" s="12" t="s">
        <v>1666</v>
      </c>
      <c r="D600" s="13">
        <v>44795</v>
      </c>
      <c r="E600" s="12" t="s">
        <v>1684</v>
      </c>
      <c r="F600" s="12" t="s">
        <v>1682</v>
      </c>
      <c r="G600" s="31">
        <v>130</v>
      </c>
      <c r="H600" s="12" t="s">
        <v>21</v>
      </c>
      <c r="I600" s="14">
        <v>3</v>
      </c>
      <c r="J600" s="15">
        <f ca="1">RAND()</f>
        <v>0.66702925180470773</v>
      </c>
      <c r="K600" s="31">
        <f t="shared" si="27"/>
        <v>390</v>
      </c>
      <c r="L600" s="31">
        <f t="shared" ca="1" si="28"/>
        <v>130</v>
      </c>
      <c r="M600" s="36">
        <f t="shared" ca="1" si="29"/>
        <v>-260</v>
      </c>
    </row>
    <row r="601" spans="2:13">
      <c r="B601" s="16" t="s">
        <v>1257</v>
      </c>
      <c r="C601" s="16" t="s">
        <v>1660</v>
      </c>
      <c r="D601" s="17">
        <v>44791</v>
      </c>
      <c r="E601" s="16" t="s">
        <v>1679</v>
      </c>
      <c r="F601" s="16" t="s">
        <v>1680</v>
      </c>
      <c r="G601" s="32">
        <v>72</v>
      </c>
      <c r="H601" s="16" t="s">
        <v>26</v>
      </c>
      <c r="I601" s="18">
        <v>6</v>
      </c>
      <c r="J601" s="19">
        <f ca="1">RAND()</f>
        <v>0.79272459506273418</v>
      </c>
      <c r="K601" s="32">
        <f t="shared" si="27"/>
        <v>432</v>
      </c>
      <c r="L601" s="32">
        <f t="shared" ca="1" si="28"/>
        <v>90</v>
      </c>
      <c r="M601" s="37">
        <f t="shared" ca="1" si="29"/>
        <v>-342</v>
      </c>
    </row>
    <row r="602" spans="2:13">
      <c r="B602" s="12" t="s">
        <v>1259</v>
      </c>
      <c r="C602" s="12" t="s">
        <v>1662</v>
      </c>
      <c r="D602" s="13">
        <v>44791</v>
      </c>
      <c r="E602" s="12" t="s">
        <v>1681</v>
      </c>
      <c r="F602" s="12" t="s">
        <v>1682</v>
      </c>
      <c r="G602" s="31">
        <v>65</v>
      </c>
      <c r="H602" s="12" t="s">
        <v>32</v>
      </c>
      <c r="I602" s="14">
        <v>12</v>
      </c>
      <c r="J602" s="15">
        <f ca="1">RAND()</f>
        <v>0.47279244917152941</v>
      </c>
      <c r="K602" s="31">
        <f t="shared" si="27"/>
        <v>780</v>
      </c>
      <c r="L602" s="31">
        <f t="shared" ca="1" si="28"/>
        <v>411</v>
      </c>
      <c r="M602" s="36">
        <f t="shared" ca="1" si="29"/>
        <v>-369</v>
      </c>
    </row>
    <row r="603" spans="2:13">
      <c r="B603" s="16" t="s">
        <v>1261</v>
      </c>
      <c r="C603" s="16" t="s">
        <v>1664</v>
      </c>
      <c r="D603" s="17">
        <v>44794</v>
      </c>
      <c r="E603" s="16" t="s">
        <v>1683</v>
      </c>
      <c r="F603" s="16" t="s">
        <v>1680</v>
      </c>
      <c r="G603" s="32">
        <v>250</v>
      </c>
      <c r="H603" s="16" t="s">
        <v>21</v>
      </c>
      <c r="I603" s="18">
        <v>3</v>
      </c>
      <c r="J603" s="19">
        <f ca="1">RAND()</f>
        <v>0.28235073493012242</v>
      </c>
      <c r="K603" s="32">
        <f t="shared" si="27"/>
        <v>750</v>
      </c>
      <c r="L603" s="32">
        <f t="shared" ca="1" si="28"/>
        <v>538</v>
      </c>
      <c r="M603" s="37">
        <f t="shared" ca="1" si="29"/>
        <v>-212</v>
      </c>
    </row>
    <row r="604" spans="2:13">
      <c r="B604" s="12" t="s">
        <v>1263</v>
      </c>
      <c r="C604" s="12" t="s">
        <v>1666</v>
      </c>
      <c r="D604" s="13">
        <v>44756</v>
      </c>
      <c r="E604" s="12" t="s">
        <v>1684</v>
      </c>
      <c r="F604" s="12" t="s">
        <v>1682</v>
      </c>
      <c r="G604" s="31">
        <v>130</v>
      </c>
      <c r="H604" s="12" t="s">
        <v>26</v>
      </c>
      <c r="I604" s="14">
        <v>4</v>
      </c>
      <c r="J604" s="15">
        <f ca="1">RAND()</f>
        <v>0.8191858877771272</v>
      </c>
      <c r="K604" s="31">
        <f t="shared" si="27"/>
        <v>520</v>
      </c>
      <c r="L604" s="31">
        <f t="shared" ca="1" si="28"/>
        <v>94</v>
      </c>
      <c r="M604" s="36">
        <f t="shared" ca="1" si="29"/>
        <v>-426</v>
      </c>
    </row>
    <row r="605" spans="2:13">
      <c r="B605" s="16" t="s">
        <v>1265</v>
      </c>
      <c r="C605" s="16" t="s">
        <v>1668</v>
      </c>
      <c r="D605" s="17">
        <v>44789</v>
      </c>
      <c r="E605" s="16" t="s">
        <v>1685</v>
      </c>
      <c r="F605" s="16" t="s">
        <v>1680</v>
      </c>
      <c r="G605" s="32">
        <v>60</v>
      </c>
      <c r="H605" s="16" t="s">
        <v>32</v>
      </c>
      <c r="I605" s="18">
        <v>11</v>
      </c>
      <c r="J605" s="19">
        <f ca="1">RAND()</f>
        <v>0.45585231755685518</v>
      </c>
      <c r="K605" s="32">
        <f t="shared" si="27"/>
        <v>660</v>
      </c>
      <c r="L605" s="32">
        <f t="shared" ca="1" si="28"/>
        <v>359</v>
      </c>
      <c r="M605" s="37">
        <f t="shared" ca="1" si="29"/>
        <v>-301</v>
      </c>
    </row>
    <row r="606" spans="2:13">
      <c r="B606" s="12" t="s">
        <v>1267</v>
      </c>
      <c r="C606" s="12" t="s">
        <v>1660</v>
      </c>
      <c r="D606" s="13">
        <v>44810</v>
      </c>
      <c r="E606" s="12" t="s">
        <v>1679</v>
      </c>
      <c r="F606" s="12" t="s">
        <v>1682</v>
      </c>
      <c r="G606" s="31">
        <v>72</v>
      </c>
      <c r="H606" s="12" t="s">
        <v>21</v>
      </c>
      <c r="I606" s="14">
        <v>3</v>
      </c>
      <c r="J606" s="15">
        <f ca="1">RAND()</f>
        <v>0.42705811573865538</v>
      </c>
      <c r="K606" s="31">
        <f t="shared" si="27"/>
        <v>216</v>
      </c>
      <c r="L606" s="31">
        <f t="shared" ca="1" si="28"/>
        <v>124</v>
      </c>
      <c r="M606" s="36">
        <f t="shared" ca="1" si="29"/>
        <v>-92</v>
      </c>
    </row>
    <row r="607" spans="2:13">
      <c r="B607" s="16" t="s">
        <v>1269</v>
      </c>
      <c r="C607" s="16" t="s">
        <v>1662</v>
      </c>
      <c r="D607" s="17">
        <v>44798</v>
      </c>
      <c r="E607" s="16" t="s">
        <v>1681</v>
      </c>
      <c r="F607" s="16" t="s">
        <v>1680</v>
      </c>
      <c r="G607" s="32">
        <v>65</v>
      </c>
      <c r="H607" s="16" t="s">
        <v>26</v>
      </c>
      <c r="I607" s="18">
        <v>8</v>
      </c>
      <c r="J607" s="19">
        <f ca="1">RAND()</f>
        <v>0.7720557935627097</v>
      </c>
      <c r="K607" s="32">
        <f t="shared" si="27"/>
        <v>520</v>
      </c>
      <c r="L607" s="32">
        <f t="shared" ca="1" si="28"/>
        <v>119</v>
      </c>
      <c r="M607" s="37">
        <f t="shared" ca="1" si="29"/>
        <v>-401</v>
      </c>
    </row>
    <row r="608" spans="2:13">
      <c r="B608" s="12" t="s">
        <v>1271</v>
      </c>
      <c r="C608" s="12" t="s">
        <v>1664</v>
      </c>
      <c r="D608" s="13">
        <v>44791</v>
      </c>
      <c r="E608" s="12" t="s">
        <v>1683</v>
      </c>
      <c r="F608" s="12" t="s">
        <v>1682</v>
      </c>
      <c r="G608" s="31">
        <v>250</v>
      </c>
      <c r="H608" s="12" t="s">
        <v>32</v>
      </c>
      <c r="I608" s="14">
        <v>3</v>
      </c>
      <c r="J608" s="15">
        <f ca="1">RAND()</f>
        <v>0.10904425953149111</v>
      </c>
      <c r="K608" s="31">
        <f t="shared" si="27"/>
        <v>750</v>
      </c>
      <c r="L608" s="31">
        <f t="shared" ca="1" si="28"/>
        <v>668</v>
      </c>
      <c r="M608" s="36">
        <f t="shared" ca="1" si="29"/>
        <v>-82</v>
      </c>
    </row>
    <row r="609" spans="2:13">
      <c r="B609" s="16" t="s">
        <v>1273</v>
      </c>
      <c r="C609" s="16" t="s">
        <v>1666</v>
      </c>
      <c r="D609" s="17">
        <v>44796</v>
      </c>
      <c r="E609" s="16" t="s">
        <v>1684</v>
      </c>
      <c r="F609" s="16" t="s">
        <v>1680</v>
      </c>
      <c r="G609" s="32">
        <v>130</v>
      </c>
      <c r="H609" s="16" t="s">
        <v>21</v>
      </c>
      <c r="I609" s="18">
        <v>2</v>
      </c>
      <c r="J609" s="19">
        <f ca="1">RAND()</f>
        <v>0.35894933723951639</v>
      </c>
      <c r="K609" s="32">
        <f t="shared" si="27"/>
        <v>260</v>
      </c>
      <c r="L609" s="32">
        <f t="shared" ca="1" si="28"/>
        <v>167</v>
      </c>
      <c r="M609" s="37">
        <f t="shared" ca="1" si="29"/>
        <v>-93</v>
      </c>
    </row>
    <row r="610" spans="2:13">
      <c r="B610" s="12" t="s">
        <v>1275</v>
      </c>
      <c r="C610" s="12" t="s">
        <v>1660</v>
      </c>
      <c r="D610" s="13">
        <v>44810</v>
      </c>
      <c r="E610" s="12" t="s">
        <v>1679</v>
      </c>
      <c r="F610" s="12" t="s">
        <v>1682</v>
      </c>
      <c r="G610" s="31">
        <v>72</v>
      </c>
      <c r="H610" s="12" t="s">
        <v>26</v>
      </c>
      <c r="I610" s="14">
        <v>12</v>
      </c>
      <c r="J610" s="15">
        <f ca="1">RAND()</f>
        <v>0.8263833323393418</v>
      </c>
      <c r="K610" s="31">
        <f t="shared" si="27"/>
        <v>864</v>
      </c>
      <c r="L610" s="31">
        <f t="shared" ca="1" si="28"/>
        <v>150</v>
      </c>
      <c r="M610" s="36">
        <f t="shared" ca="1" si="29"/>
        <v>-714</v>
      </c>
    </row>
    <row r="611" spans="2:13">
      <c r="B611" s="16" t="s">
        <v>1277</v>
      </c>
      <c r="C611" s="16" t="s">
        <v>1662</v>
      </c>
      <c r="D611" s="17">
        <v>44791</v>
      </c>
      <c r="E611" s="16" t="s">
        <v>1681</v>
      </c>
      <c r="F611" s="16" t="s">
        <v>1680</v>
      </c>
      <c r="G611" s="32">
        <v>65</v>
      </c>
      <c r="H611" s="16" t="s">
        <v>32</v>
      </c>
      <c r="I611" s="18">
        <v>13</v>
      </c>
      <c r="J611" s="19">
        <f ca="1">RAND()</f>
        <v>0.84067196569816371</v>
      </c>
      <c r="K611" s="32">
        <f t="shared" si="27"/>
        <v>845</v>
      </c>
      <c r="L611" s="32">
        <f t="shared" ca="1" si="28"/>
        <v>135</v>
      </c>
      <c r="M611" s="37">
        <f t="shared" ca="1" si="29"/>
        <v>-710</v>
      </c>
    </row>
    <row r="612" spans="2:13">
      <c r="B612" s="12" t="s">
        <v>1279</v>
      </c>
      <c r="C612" s="12" t="s">
        <v>1664</v>
      </c>
      <c r="D612" s="13">
        <v>44797</v>
      </c>
      <c r="E612" s="12" t="s">
        <v>1683</v>
      </c>
      <c r="F612" s="12" t="s">
        <v>1682</v>
      </c>
      <c r="G612" s="31">
        <v>250</v>
      </c>
      <c r="H612" s="12" t="s">
        <v>21</v>
      </c>
      <c r="I612" s="14">
        <v>2</v>
      </c>
      <c r="J612" s="15">
        <f ca="1">RAND()</f>
        <v>0.36861272107675458</v>
      </c>
      <c r="K612" s="31">
        <f t="shared" si="27"/>
        <v>500</v>
      </c>
      <c r="L612" s="31">
        <f t="shared" ca="1" si="28"/>
        <v>316</v>
      </c>
      <c r="M612" s="36">
        <f t="shared" ca="1" si="29"/>
        <v>-184</v>
      </c>
    </row>
    <row r="613" spans="2:13">
      <c r="B613" s="16" t="s">
        <v>1281</v>
      </c>
      <c r="C613" s="16" t="s">
        <v>1666</v>
      </c>
      <c r="D613" s="17">
        <v>44777</v>
      </c>
      <c r="E613" s="16" t="s">
        <v>1684</v>
      </c>
      <c r="F613" s="16" t="s">
        <v>1680</v>
      </c>
      <c r="G613" s="32">
        <v>130</v>
      </c>
      <c r="H613" s="16" t="s">
        <v>26</v>
      </c>
      <c r="I613" s="18">
        <v>4</v>
      </c>
      <c r="J613" s="19">
        <f ca="1">RAND()</f>
        <v>0.30708985276677925</v>
      </c>
      <c r="K613" s="32">
        <f t="shared" si="27"/>
        <v>520</v>
      </c>
      <c r="L613" s="32">
        <f t="shared" ca="1" si="28"/>
        <v>360</v>
      </c>
      <c r="M613" s="37">
        <f t="shared" ca="1" si="29"/>
        <v>-160</v>
      </c>
    </row>
    <row r="614" spans="2:13">
      <c r="B614" s="12" t="s">
        <v>1283</v>
      </c>
      <c r="C614" s="12" t="s">
        <v>1668</v>
      </c>
      <c r="D614" s="13">
        <v>44802</v>
      </c>
      <c r="E614" s="12" t="s">
        <v>1685</v>
      </c>
      <c r="F614" s="12" t="s">
        <v>1680</v>
      </c>
      <c r="G614" s="31">
        <v>60</v>
      </c>
      <c r="H614" s="12" t="s">
        <v>32</v>
      </c>
      <c r="I614" s="14">
        <v>4</v>
      </c>
      <c r="J614" s="15">
        <f ca="1">RAND()</f>
        <v>0.23985606266068105</v>
      </c>
      <c r="K614" s="31">
        <f t="shared" si="27"/>
        <v>240</v>
      </c>
      <c r="L614" s="31">
        <f t="shared" ca="1" si="28"/>
        <v>182</v>
      </c>
      <c r="M614" s="36">
        <f t="shared" ca="1" si="29"/>
        <v>-58</v>
      </c>
    </row>
    <row r="615" spans="2:13">
      <c r="B615" s="16" t="s">
        <v>1285</v>
      </c>
      <c r="C615" s="16" t="s">
        <v>1669</v>
      </c>
      <c r="D615" s="17">
        <v>44758</v>
      </c>
      <c r="E615" s="16" t="s">
        <v>1686</v>
      </c>
      <c r="F615" s="16" t="s">
        <v>1682</v>
      </c>
      <c r="G615" s="32">
        <v>95</v>
      </c>
      <c r="H615" s="16" t="s">
        <v>21</v>
      </c>
      <c r="I615" s="18">
        <v>8</v>
      </c>
      <c r="J615" s="19">
        <f ca="1">RAND()</f>
        <v>0.52070458420221233</v>
      </c>
      <c r="K615" s="32">
        <f t="shared" si="27"/>
        <v>760</v>
      </c>
      <c r="L615" s="32">
        <f t="shared" ca="1" si="28"/>
        <v>364</v>
      </c>
      <c r="M615" s="37">
        <f t="shared" ca="1" si="29"/>
        <v>-396</v>
      </c>
    </row>
    <row r="616" spans="2:13">
      <c r="B616" s="12" t="s">
        <v>1287</v>
      </c>
      <c r="C616" s="12" t="s">
        <v>1660</v>
      </c>
      <c r="D616" s="13">
        <v>44768</v>
      </c>
      <c r="E616" s="12" t="s">
        <v>1679</v>
      </c>
      <c r="F616" s="12" t="s">
        <v>1682</v>
      </c>
      <c r="G616" s="31">
        <v>72</v>
      </c>
      <c r="H616" s="12" t="s">
        <v>26</v>
      </c>
      <c r="I616" s="14">
        <v>10</v>
      </c>
      <c r="J616" s="15">
        <f ca="1">RAND()</f>
        <v>0.67130749721573735</v>
      </c>
      <c r="K616" s="31">
        <f t="shared" si="27"/>
        <v>720</v>
      </c>
      <c r="L616" s="31">
        <f t="shared" ca="1" si="28"/>
        <v>237</v>
      </c>
      <c r="M616" s="36">
        <f t="shared" ca="1" si="29"/>
        <v>-483</v>
      </c>
    </row>
    <row r="617" spans="2:13">
      <c r="B617" s="16" t="s">
        <v>1289</v>
      </c>
      <c r="C617" s="16" t="s">
        <v>1662</v>
      </c>
      <c r="D617" s="17">
        <v>44756</v>
      </c>
      <c r="E617" s="16" t="s">
        <v>1681</v>
      </c>
      <c r="F617" s="16" t="s">
        <v>1682</v>
      </c>
      <c r="G617" s="32">
        <v>65</v>
      </c>
      <c r="H617" s="16" t="s">
        <v>32</v>
      </c>
      <c r="I617" s="18">
        <v>7</v>
      </c>
      <c r="J617" s="19">
        <f ca="1">RAND()</f>
        <v>0.69670352833662064</v>
      </c>
      <c r="K617" s="32">
        <f t="shared" si="27"/>
        <v>455</v>
      </c>
      <c r="L617" s="32">
        <f t="shared" ca="1" si="28"/>
        <v>138</v>
      </c>
      <c r="M617" s="37">
        <f t="shared" ca="1" si="29"/>
        <v>-317</v>
      </c>
    </row>
    <row r="618" spans="2:13">
      <c r="B618" s="12" t="s">
        <v>1291</v>
      </c>
      <c r="C618" s="12" t="s">
        <v>1664</v>
      </c>
      <c r="D618" s="13">
        <v>44809</v>
      </c>
      <c r="E618" s="12" t="s">
        <v>1683</v>
      </c>
      <c r="F618" s="12" t="s">
        <v>1680</v>
      </c>
      <c r="G618" s="31">
        <v>250</v>
      </c>
      <c r="H618" s="12" t="s">
        <v>21</v>
      </c>
      <c r="I618" s="14">
        <v>3</v>
      </c>
      <c r="J618" s="15">
        <f ca="1">RAND()</f>
        <v>0.59772748316589941</v>
      </c>
      <c r="K618" s="31">
        <f t="shared" si="27"/>
        <v>750</v>
      </c>
      <c r="L618" s="31">
        <f t="shared" ca="1" si="28"/>
        <v>302</v>
      </c>
      <c r="M618" s="36">
        <f t="shared" ca="1" si="29"/>
        <v>-448</v>
      </c>
    </row>
    <row r="619" spans="2:13">
      <c r="B619" s="16" t="s">
        <v>1293</v>
      </c>
      <c r="C619" s="16" t="s">
        <v>1666</v>
      </c>
      <c r="D619" s="17">
        <v>44801</v>
      </c>
      <c r="E619" s="16" t="s">
        <v>1684</v>
      </c>
      <c r="F619" s="16" t="s">
        <v>1680</v>
      </c>
      <c r="G619" s="32">
        <v>130</v>
      </c>
      <c r="H619" s="16" t="s">
        <v>26</v>
      </c>
      <c r="I619" s="18">
        <v>6</v>
      </c>
      <c r="J619" s="19">
        <f ca="1">RAND()</f>
        <v>0.30312635204753036</v>
      </c>
      <c r="K619" s="32">
        <f t="shared" si="27"/>
        <v>780</v>
      </c>
      <c r="L619" s="32">
        <f t="shared" ca="1" si="28"/>
        <v>544</v>
      </c>
      <c r="M619" s="37">
        <f t="shared" ca="1" si="29"/>
        <v>-236</v>
      </c>
    </row>
    <row r="620" spans="2:13">
      <c r="B620" s="12" t="s">
        <v>1295</v>
      </c>
      <c r="C620" s="12" t="s">
        <v>1660</v>
      </c>
      <c r="D620" s="13">
        <v>44794</v>
      </c>
      <c r="E620" s="12" t="s">
        <v>1679</v>
      </c>
      <c r="F620" s="12" t="s">
        <v>1680</v>
      </c>
      <c r="G620" s="31">
        <v>72</v>
      </c>
      <c r="H620" s="12" t="s">
        <v>32</v>
      </c>
      <c r="I620" s="14">
        <v>7</v>
      </c>
      <c r="J620" s="15">
        <f ca="1">RAND()</f>
        <v>0.70092055623219551</v>
      </c>
      <c r="K620" s="31">
        <f t="shared" si="27"/>
        <v>504</v>
      </c>
      <c r="L620" s="31">
        <f t="shared" ca="1" si="28"/>
        <v>151</v>
      </c>
      <c r="M620" s="36">
        <f t="shared" ca="1" si="29"/>
        <v>-353</v>
      </c>
    </row>
    <row r="621" spans="2:13">
      <c r="B621" s="16" t="s">
        <v>1297</v>
      </c>
      <c r="C621" s="16" t="s">
        <v>1662</v>
      </c>
      <c r="D621" s="17">
        <v>44792</v>
      </c>
      <c r="E621" s="16" t="s">
        <v>1681</v>
      </c>
      <c r="F621" s="16" t="s">
        <v>1680</v>
      </c>
      <c r="G621" s="32">
        <v>65</v>
      </c>
      <c r="H621" s="16" t="s">
        <v>21</v>
      </c>
      <c r="I621" s="18">
        <v>3</v>
      </c>
      <c r="J621" s="19">
        <f ca="1">RAND()</f>
        <v>0.79034116532740373</v>
      </c>
      <c r="K621" s="32">
        <f t="shared" si="27"/>
        <v>195</v>
      </c>
      <c r="L621" s="32">
        <f t="shared" ca="1" si="28"/>
        <v>41</v>
      </c>
      <c r="M621" s="37">
        <f t="shared" ca="1" si="29"/>
        <v>-154</v>
      </c>
    </row>
    <row r="622" spans="2:13">
      <c r="B622" s="12" t="s">
        <v>1299</v>
      </c>
      <c r="C622" s="12" t="s">
        <v>1664</v>
      </c>
      <c r="D622" s="13">
        <v>44770</v>
      </c>
      <c r="E622" s="12" t="s">
        <v>1683</v>
      </c>
      <c r="F622" s="12" t="s">
        <v>1680</v>
      </c>
      <c r="G622" s="31">
        <v>250</v>
      </c>
      <c r="H622" s="12" t="s">
        <v>26</v>
      </c>
      <c r="I622" s="14">
        <v>1</v>
      </c>
      <c r="J622" s="15">
        <f ca="1">RAND()</f>
        <v>0.19498127500842444</v>
      </c>
      <c r="K622" s="31">
        <f t="shared" si="27"/>
        <v>250</v>
      </c>
      <c r="L622" s="31">
        <f t="shared" ca="1" si="28"/>
        <v>201</v>
      </c>
      <c r="M622" s="36">
        <f t="shared" ca="1" si="29"/>
        <v>-49</v>
      </c>
    </row>
    <row r="623" spans="2:13">
      <c r="B623" s="16" t="s">
        <v>1301</v>
      </c>
      <c r="C623" s="16" t="s">
        <v>1666</v>
      </c>
      <c r="D623" s="17">
        <v>44761</v>
      </c>
      <c r="E623" s="16" t="s">
        <v>1684</v>
      </c>
      <c r="F623" s="16" t="s">
        <v>1680</v>
      </c>
      <c r="G623" s="32">
        <v>130</v>
      </c>
      <c r="H623" s="16" t="s">
        <v>32</v>
      </c>
      <c r="I623" s="18">
        <v>5</v>
      </c>
      <c r="J623" s="19">
        <f ca="1">RAND()</f>
        <v>0.70656315811320869</v>
      </c>
      <c r="K623" s="32">
        <f t="shared" si="27"/>
        <v>650</v>
      </c>
      <c r="L623" s="32">
        <f t="shared" ca="1" si="28"/>
        <v>191</v>
      </c>
      <c r="M623" s="37">
        <f t="shared" ca="1" si="29"/>
        <v>-459</v>
      </c>
    </row>
    <row r="624" spans="2:13">
      <c r="B624" s="12" t="s">
        <v>1303</v>
      </c>
      <c r="C624" s="12" t="s">
        <v>1668</v>
      </c>
      <c r="D624" s="13">
        <v>44773</v>
      </c>
      <c r="E624" s="12" t="s">
        <v>1685</v>
      </c>
      <c r="F624" s="12" t="s">
        <v>1680</v>
      </c>
      <c r="G624" s="31">
        <v>60</v>
      </c>
      <c r="H624" s="12" t="s">
        <v>21</v>
      </c>
      <c r="I624" s="14">
        <v>7</v>
      </c>
      <c r="J624" s="15">
        <f ca="1">RAND()</f>
        <v>0.98262499803086467</v>
      </c>
      <c r="K624" s="31">
        <f t="shared" si="27"/>
        <v>420</v>
      </c>
      <c r="L624" s="31">
        <f t="shared" ca="1" si="28"/>
        <v>7</v>
      </c>
      <c r="M624" s="36">
        <f t="shared" ca="1" si="29"/>
        <v>-413</v>
      </c>
    </row>
    <row r="625" spans="2:13">
      <c r="B625" s="16" t="s">
        <v>1305</v>
      </c>
      <c r="C625" s="16" t="s">
        <v>1660</v>
      </c>
      <c r="D625" s="17">
        <v>44766</v>
      </c>
      <c r="E625" s="16" t="s">
        <v>1679</v>
      </c>
      <c r="F625" s="16" t="s">
        <v>1680</v>
      </c>
      <c r="G625" s="32">
        <v>72</v>
      </c>
      <c r="H625" s="16" t="s">
        <v>26</v>
      </c>
      <c r="I625" s="18">
        <v>7</v>
      </c>
      <c r="J625" s="19">
        <f ca="1">RAND()</f>
        <v>7.3466510206483648E-2</v>
      </c>
      <c r="K625" s="32">
        <f t="shared" si="27"/>
        <v>504</v>
      </c>
      <c r="L625" s="32">
        <f t="shared" ca="1" si="28"/>
        <v>467</v>
      </c>
      <c r="M625" s="37">
        <f t="shared" ca="1" si="29"/>
        <v>-37</v>
      </c>
    </row>
    <row r="626" spans="2:13">
      <c r="B626" s="12" t="s">
        <v>1307</v>
      </c>
      <c r="C626" s="12" t="s">
        <v>1662</v>
      </c>
      <c r="D626" s="13">
        <v>44793</v>
      </c>
      <c r="E626" s="12" t="s">
        <v>1681</v>
      </c>
      <c r="F626" s="12" t="s">
        <v>1680</v>
      </c>
      <c r="G626" s="31">
        <v>65</v>
      </c>
      <c r="H626" s="12" t="s">
        <v>32</v>
      </c>
      <c r="I626" s="14">
        <v>11</v>
      </c>
      <c r="J626" s="15">
        <f ca="1">RAND()</f>
        <v>0.73132052606226927</v>
      </c>
      <c r="K626" s="31">
        <f t="shared" si="27"/>
        <v>715</v>
      </c>
      <c r="L626" s="31">
        <f t="shared" ca="1" si="28"/>
        <v>192</v>
      </c>
      <c r="M626" s="36">
        <f t="shared" ca="1" si="29"/>
        <v>-523</v>
      </c>
    </row>
    <row r="627" spans="2:13">
      <c r="B627" s="16" t="s">
        <v>1309</v>
      </c>
      <c r="C627" s="16" t="s">
        <v>1664</v>
      </c>
      <c r="D627" s="17">
        <v>44769</v>
      </c>
      <c r="E627" s="16" t="s">
        <v>1683</v>
      </c>
      <c r="F627" s="16" t="s">
        <v>1682</v>
      </c>
      <c r="G627" s="32">
        <v>250</v>
      </c>
      <c r="H627" s="16" t="s">
        <v>21</v>
      </c>
      <c r="I627" s="18">
        <v>1</v>
      </c>
      <c r="J627" s="19">
        <f ca="1">RAND()</f>
        <v>0.87321131106183225</v>
      </c>
      <c r="K627" s="32">
        <f t="shared" si="27"/>
        <v>250</v>
      </c>
      <c r="L627" s="32">
        <f t="shared" ca="1" si="28"/>
        <v>32</v>
      </c>
      <c r="M627" s="37">
        <f t="shared" ca="1" si="29"/>
        <v>-218</v>
      </c>
    </row>
    <row r="628" spans="2:13">
      <c r="B628" s="12" t="s">
        <v>1311</v>
      </c>
      <c r="C628" s="12" t="s">
        <v>1666</v>
      </c>
      <c r="D628" s="13">
        <v>44758</v>
      </c>
      <c r="E628" s="12" t="s">
        <v>1684</v>
      </c>
      <c r="F628" s="12" t="s">
        <v>1680</v>
      </c>
      <c r="G628" s="31">
        <v>130</v>
      </c>
      <c r="H628" s="12" t="s">
        <v>26</v>
      </c>
      <c r="I628" s="14">
        <v>5</v>
      </c>
      <c r="J628" s="15">
        <f ca="1">RAND()</f>
        <v>0.72564227047128949</v>
      </c>
      <c r="K628" s="31">
        <f t="shared" si="27"/>
        <v>650</v>
      </c>
      <c r="L628" s="31">
        <f t="shared" ca="1" si="28"/>
        <v>178</v>
      </c>
      <c r="M628" s="36">
        <f t="shared" ca="1" si="29"/>
        <v>-472</v>
      </c>
    </row>
    <row r="629" spans="2:13">
      <c r="B629" s="16" t="s">
        <v>1313</v>
      </c>
      <c r="C629" s="16" t="s">
        <v>1660</v>
      </c>
      <c r="D629" s="17">
        <v>44803</v>
      </c>
      <c r="E629" s="16" t="s">
        <v>1679</v>
      </c>
      <c r="F629" s="16" t="s">
        <v>1680</v>
      </c>
      <c r="G629" s="32">
        <v>72</v>
      </c>
      <c r="H629" s="16" t="s">
        <v>32</v>
      </c>
      <c r="I629" s="18">
        <v>11</v>
      </c>
      <c r="J629" s="19">
        <f ca="1">RAND()</f>
        <v>0.16364441975484323</v>
      </c>
      <c r="K629" s="32">
        <f t="shared" si="27"/>
        <v>792</v>
      </c>
      <c r="L629" s="32">
        <f t="shared" ca="1" si="28"/>
        <v>662</v>
      </c>
      <c r="M629" s="37">
        <f t="shared" ca="1" si="29"/>
        <v>-130</v>
      </c>
    </row>
    <row r="630" spans="2:13">
      <c r="B630" s="12" t="s">
        <v>1315</v>
      </c>
      <c r="C630" s="12" t="s">
        <v>1662</v>
      </c>
      <c r="D630" s="13">
        <v>44808</v>
      </c>
      <c r="E630" s="12" t="s">
        <v>1681</v>
      </c>
      <c r="F630" s="12" t="s">
        <v>1680</v>
      </c>
      <c r="G630" s="31">
        <v>65</v>
      </c>
      <c r="H630" s="12" t="s">
        <v>21</v>
      </c>
      <c r="I630" s="14">
        <v>7</v>
      </c>
      <c r="J630" s="15">
        <f ca="1">RAND()</f>
        <v>0.99895467036430807</v>
      </c>
      <c r="K630" s="31">
        <f t="shared" si="27"/>
        <v>455</v>
      </c>
      <c r="L630" s="31">
        <f t="shared" ca="1" si="28"/>
        <v>0</v>
      </c>
      <c r="M630" s="36">
        <f t="shared" ca="1" si="29"/>
        <v>-455</v>
      </c>
    </row>
    <row r="631" spans="2:13">
      <c r="B631" s="16" t="s">
        <v>1317</v>
      </c>
      <c r="C631" s="16" t="s">
        <v>1664</v>
      </c>
      <c r="D631" s="17">
        <v>44784</v>
      </c>
      <c r="E631" s="16" t="s">
        <v>1683</v>
      </c>
      <c r="F631" s="16" t="s">
        <v>1680</v>
      </c>
      <c r="G631" s="32">
        <v>250</v>
      </c>
      <c r="H631" s="16" t="s">
        <v>26</v>
      </c>
      <c r="I631" s="18">
        <v>2</v>
      </c>
      <c r="J631" s="19">
        <f ca="1">RAND()</f>
        <v>0.86315034107218336</v>
      </c>
      <c r="K631" s="32">
        <f t="shared" si="27"/>
        <v>500</v>
      </c>
      <c r="L631" s="32">
        <f t="shared" ca="1" si="28"/>
        <v>68</v>
      </c>
      <c r="M631" s="37">
        <f t="shared" ca="1" si="29"/>
        <v>-432</v>
      </c>
    </row>
    <row r="632" spans="2:13">
      <c r="B632" s="12" t="s">
        <v>1319</v>
      </c>
      <c r="C632" s="12" t="s">
        <v>1666</v>
      </c>
      <c r="D632" s="13">
        <v>44764</v>
      </c>
      <c r="E632" s="12" t="s">
        <v>1684</v>
      </c>
      <c r="F632" s="12" t="s">
        <v>1680</v>
      </c>
      <c r="G632" s="31">
        <v>130</v>
      </c>
      <c r="H632" s="12" t="s">
        <v>32</v>
      </c>
      <c r="I632" s="14">
        <v>3</v>
      </c>
      <c r="J632" s="15">
        <f ca="1">RAND()</f>
        <v>9.4327650421208387E-2</v>
      </c>
      <c r="K632" s="31">
        <f t="shared" si="27"/>
        <v>390</v>
      </c>
      <c r="L632" s="31">
        <f t="shared" ca="1" si="28"/>
        <v>353</v>
      </c>
      <c r="M632" s="36">
        <f t="shared" ca="1" si="29"/>
        <v>-37</v>
      </c>
    </row>
    <row r="633" spans="2:13">
      <c r="B633" s="16" t="s">
        <v>1321</v>
      </c>
      <c r="C633" s="16" t="s">
        <v>1668</v>
      </c>
      <c r="D633" s="17">
        <v>44795</v>
      </c>
      <c r="E633" s="16" t="s">
        <v>1685</v>
      </c>
      <c r="F633" s="16" t="s">
        <v>1682</v>
      </c>
      <c r="G633" s="32">
        <v>60</v>
      </c>
      <c r="H633" s="16" t="s">
        <v>21</v>
      </c>
      <c r="I633" s="18">
        <v>4</v>
      </c>
      <c r="J633" s="19">
        <f ca="1">RAND()</f>
        <v>0.84763073064629257</v>
      </c>
      <c r="K633" s="32">
        <f t="shared" si="27"/>
        <v>240</v>
      </c>
      <c r="L633" s="32">
        <f t="shared" ca="1" si="28"/>
        <v>37</v>
      </c>
      <c r="M633" s="37">
        <f t="shared" ca="1" si="29"/>
        <v>-203</v>
      </c>
    </row>
    <row r="634" spans="2:13">
      <c r="B634" s="12" t="s">
        <v>1323</v>
      </c>
      <c r="C634" s="12" t="s">
        <v>1669</v>
      </c>
      <c r="D634" s="13">
        <v>44799</v>
      </c>
      <c r="E634" s="12" t="s">
        <v>1686</v>
      </c>
      <c r="F634" s="12" t="s">
        <v>1680</v>
      </c>
      <c r="G634" s="31">
        <v>95</v>
      </c>
      <c r="H634" s="12" t="s">
        <v>26</v>
      </c>
      <c r="I634" s="14">
        <v>4</v>
      </c>
      <c r="J634" s="15">
        <f ca="1">RAND()</f>
        <v>0.42721226772875931</v>
      </c>
      <c r="K634" s="31">
        <f t="shared" si="27"/>
        <v>380</v>
      </c>
      <c r="L634" s="31">
        <f t="shared" ca="1" si="28"/>
        <v>218</v>
      </c>
      <c r="M634" s="36">
        <f t="shared" ca="1" si="29"/>
        <v>-162</v>
      </c>
    </row>
    <row r="635" spans="2:13">
      <c r="B635" s="16" t="s">
        <v>1325</v>
      </c>
      <c r="C635" s="16" t="s">
        <v>1660</v>
      </c>
      <c r="D635" s="17">
        <v>44800</v>
      </c>
      <c r="E635" s="16" t="s">
        <v>1679</v>
      </c>
      <c r="F635" s="16" t="s">
        <v>1680</v>
      </c>
      <c r="G635" s="32">
        <v>72</v>
      </c>
      <c r="H635" s="16" t="s">
        <v>32</v>
      </c>
      <c r="I635" s="18">
        <v>8</v>
      </c>
      <c r="J635" s="19">
        <f ca="1">RAND()</f>
        <v>0.83916774950205408</v>
      </c>
      <c r="K635" s="32">
        <f t="shared" si="27"/>
        <v>576</v>
      </c>
      <c r="L635" s="32">
        <f t="shared" ca="1" si="28"/>
        <v>93</v>
      </c>
      <c r="M635" s="37">
        <f t="shared" ca="1" si="29"/>
        <v>-483</v>
      </c>
    </row>
    <row r="636" spans="2:13">
      <c r="B636" s="12" t="s">
        <v>1327</v>
      </c>
      <c r="C636" s="12" t="s">
        <v>1662</v>
      </c>
      <c r="D636" s="13">
        <v>44771</v>
      </c>
      <c r="E636" s="12" t="s">
        <v>1681</v>
      </c>
      <c r="F636" s="12" t="s">
        <v>1680</v>
      </c>
      <c r="G636" s="31">
        <v>65</v>
      </c>
      <c r="H636" s="12" t="s">
        <v>21</v>
      </c>
      <c r="I636" s="14">
        <v>12</v>
      </c>
      <c r="J636" s="15">
        <f ca="1">RAND()</f>
        <v>0.55821550748533144</v>
      </c>
      <c r="K636" s="31">
        <f t="shared" si="27"/>
        <v>780</v>
      </c>
      <c r="L636" s="31">
        <f t="shared" ca="1" si="28"/>
        <v>345</v>
      </c>
      <c r="M636" s="36">
        <f t="shared" ca="1" si="29"/>
        <v>-435</v>
      </c>
    </row>
    <row r="637" spans="2:13">
      <c r="B637" s="16" t="s">
        <v>1329</v>
      </c>
      <c r="C637" s="16" t="s">
        <v>1664</v>
      </c>
      <c r="D637" s="17">
        <v>44760</v>
      </c>
      <c r="E637" s="16" t="s">
        <v>1683</v>
      </c>
      <c r="F637" s="16" t="s">
        <v>1682</v>
      </c>
      <c r="G637" s="32">
        <v>250</v>
      </c>
      <c r="H637" s="16" t="s">
        <v>26</v>
      </c>
      <c r="I637" s="18">
        <v>3</v>
      </c>
      <c r="J637" s="19">
        <f ca="1">RAND()</f>
        <v>0.95726307523330667</v>
      </c>
      <c r="K637" s="32">
        <f t="shared" si="27"/>
        <v>750</v>
      </c>
      <c r="L637" s="32">
        <f t="shared" ca="1" si="28"/>
        <v>32</v>
      </c>
      <c r="M637" s="37">
        <f t="shared" ca="1" si="29"/>
        <v>-718</v>
      </c>
    </row>
    <row r="638" spans="2:13">
      <c r="B638" s="12" t="s">
        <v>1331</v>
      </c>
      <c r="C638" s="12" t="s">
        <v>1666</v>
      </c>
      <c r="D638" s="13">
        <v>44778</v>
      </c>
      <c r="E638" s="12" t="s">
        <v>1684</v>
      </c>
      <c r="F638" s="12" t="s">
        <v>1682</v>
      </c>
      <c r="G638" s="31">
        <v>130</v>
      </c>
      <c r="H638" s="12" t="s">
        <v>32</v>
      </c>
      <c r="I638" s="14">
        <v>2</v>
      </c>
      <c r="J638" s="15">
        <f ca="1">RAND()</f>
        <v>0.90554496752829217</v>
      </c>
      <c r="K638" s="31">
        <f t="shared" si="27"/>
        <v>260</v>
      </c>
      <c r="L638" s="31">
        <f t="shared" ca="1" si="28"/>
        <v>25</v>
      </c>
      <c r="M638" s="36">
        <f t="shared" ca="1" si="29"/>
        <v>-235</v>
      </c>
    </row>
    <row r="639" spans="2:13">
      <c r="B639" s="16" t="s">
        <v>1333</v>
      </c>
      <c r="C639" s="16" t="s">
        <v>1660</v>
      </c>
      <c r="D639" s="17">
        <v>44755</v>
      </c>
      <c r="E639" s="16" t="s">
        <v>1679</v>
      </c>
      <c r="F639" s="16" t="s">
        <v>1682</v>
      </c>
      <c r="G639" s="32">
        <v>72</v>
      </c>
      <c r="H639" s="16" t="s">
        <v>21</v>
      </c>
      <c r="I639" s="18">
        <v>10</v>
      </c>
      <c r="J639" s="19">
        <f ca="1">RAND()</f>
        <v>0.8101132739491097</v>
      </c>
      <c r="K639" s="32">
        <f t="shared" si="27"/>
        <v>720</v>
      </c>
      <c r="L639" s="32">
        <f t="shared" ca="1" si="28"/>
        <v>137</v>
      </c>
      <c r="M639" s="37">
        <f t="shared" ca="1" si="29"/>
        <v>-583</v>
      </c>
    </row>
    <row r="640" spans="2:13">
      <c r="B640" s="12" t="s">
        <v>1335</v>
      </c>
      <c r="C640" s="12" t="s">
        <v>1662</v>
      </c>
      <c r="D640" s="13">
        <v>44770</v>
      </c>
      <c r="E640" s="12" t="s">
        <v>1681</v>
      </c>
      <c r="F640" s="12" t="s">
        <v>1682</v>
      </c>
      <c r="G640" s="31">
        <v>65</v>
      </c>
      <c r="H640" s="12" t="s">
        <v>26</v>
      </c>
      <c r="I640" s="14">
        <v>9</v>
      </c>
      <c r="J640" s="15">
        <f ca="1">RAND()</f>
        <v>0.43565622597812725</v>
      </c>
      <c r="K640" s="31">
        <f t="shared" si="27"/>
        <v>585</v>
      </c>
      <c r="L640" s="31">
        <f t="shared" ca="1" si="28"/>
        <v>330</v>
      </c>
      <c r="M640" s="36">
        <f t="shared" ca="1" si="29"/>
        <v>-255</v>
      </c>
    </row>
    <row r="641" spans="2:13">
      <c r="B641" s="16" t="s">
        <v>1337</v>
      </c>
      <c r="C641" s="16" t="s">
        <v>1664</v>
      </c>
      <c r="D641" s="17">
        <v>44772</v>
      </c>
      <c r="E641" s="16" t="s">
        <v>1683</v>
      </c>
      <c r="F641" s="16" t="s">
        <v>1682</v>
      </c>
      <c r="G641" s="32">
        <v>250</v>
      </c>
      <c r="H641" s="16" t="s">
        <v>32</v>
      </c>
      <c r="I641" s="18">
        <v>2</v>
      </c>
      <c r="J641" s="19">
        <f ca="1">RAND()</f>
        <v>0.58275225461494551</v>
      </c>
      <c r="K641" s="32">
        <f t="shared" si="27"/>
        <v>500</v>
      </c>
      <c r="L641" s="32">
        <f t="shared" ca="1" si="28"/>
        <v>209</v>
      </c>
      <c r="M641" s="37">
        <f t="shared" ca="1" si="29"/>
        <v>-291</v>
      </c>
    </row>
    <row r="642" spans="2:13">
      <c r="B642" s="12" t="s">
        <v>1339</v>
      </c>
      <c r="C642" s="12" t="s">
        <v>1666</v>
      </c>
      <c r="D642" s="13">
        <v>44799</v>
      </c>
      <c r="E642" s="12" t="s">
        <v>1684</v>
      </c>
      <c r="F642" s="12" t="s">
        <v>1682</v>
      </c>
      <c r="G642" s="31">
        <v>130</v>
      </c>
      <c r="H642" s="12" t="s">
        <v>21</v>
      </c>
      <c r="I642" s="14">
        <v>3</v>
      </c>
      <c r="J642" s="15">
        <f ca="1">RAND()</f>
        <v>0.40701722304809385</v>
      </c>
      <c r="K642" s="31">
        <f t="shared" si="27"/>
        <v>390</v>
      </c>
      <c r="L642" s="31">
        <f t="shared" ca="1" si="28"/>
        <v>231</v>
      </c>
      <c r="M642" s="36">
        <f t="shared" ca="1" si="29"/>
        <v>-159</v>
      </c>
    </row>
    <row r="643" spans="2:13">
      <c r="B643" s="16" t="s">
        <v>1341</v>
      </c>
      <c r="C643" s="16" t="s">
        <v>1660</v>
      </c>
      <c r="D643" s="17">
        <v>44782</v>
      </c>
      <c r="E643" s="16" t="s">
        <v>1679</v>
      </c>
      <c r="F643" s="16" t="s">
        <v>1680</v>
      </c>
      <c r="G643" s="32">
        <v>72</v>
      </c>
      <c r="H643" s="16" t="s">
        <v>21</v>
      </c>
      <c r="I643" s="18">
        <v>9</v>
      </c>
      <c r="J643" s="19">
        <f ca="1">RAND()</f>
        <v>0.37951694524288548</v>
      </c>
      <c r="K643" s="32">
        <f t="shared" si="27"/>
        <v>648</v>
      </c>
      <c r="L643" s="32">
        <f t="shared" ca="1" si="28"/>
        <v>402</v>
      </c>
      <c r="M643" s="37">
        <f t="shared" ca="1" si="29"/>
        <v>-246</v>
      </c>
    </row>
    <row r="644" spans="2:13">
      <c r="B644" s="12" t="s">
        <v>1343</v>
      </c>
      <c r="C644" s="12" t="s">
        <v>1662</v>
      </c>
      <c r="D644" s="13">
        <v>44761</v>
      </c>
      <c r="E644" s="12" t="s">
        <v>1681</v>
      </c>
      <c r="F644" s="12" t="s">
        <v>1682</v>
      </c>
      <c r="G644" s="31">
        <v>65</v>
      </c>
      <c r="H644" s="12" t="s">
        <v>26</v>
      </c>
      <c r="I644" s="14">
        <v>6</v>
      </c>
      <c r="J644" s="15">
        <f ca="1">RAND()</f>
        <v>0.56531823117523339</v>
      </c>
      <c r="K644" s="31">
        <f t="shared" si="27"/>
        <v>390</v>
      </c>
      <c r="L644" s="31">
        <f t="shared" ca="1" si="28"/>
        <v>170</v>
      </c>
      <c r="M644" s="36">
        <f t="shared" ca="1" si="29"/>
        <v>-220</v>
      </c>
    </row>
    <row r="645" spans="2:13">
      <c r="B645" s="16" t="s">
        <v>1345</v>
      </c>
      <c r="C645" s="16" t="s">
        <v>1664</v>
      </c>
      <c r="D645" s="17">
        <v>44794</v>
      </c>
      <c r="E645" s="16" t="s">
        <v>1683</v>
      </c>
      <c r="F645" s="16" t="s">
        <v>1680</v>
      </c>
      <c r="G645" s="32">
        <v>250</v>
      </c>
      <c r="H645" s="16" t="s">
        <v>32</v>
      </c>
      <c r="I645" s="18">
        <v>3</v>
      </c>
      <c r="J645" s="19">
        <f ca="1">RAND()</f>
        <v>0.30745240167590648</v>
      </c>
      <c r="K645" s="32">
        <f t="shared" si="27"/>
        <v>750</v>
      </c>
      <c r="L645" s="32">
        <f t="shared" ca="1" si="28"/>
        <v>519</v>
      </c>
      <c r="M645" s="37">
        <f t="shared" ca="1" si="29"/>
        <v>-231</v>
      </c>
    </row>
    <row r="646" spans="2:13">
      <c r="B646" s="12" t="s">
        <v>1347</v>
      </c>
      <c r="C646" s="12" t="s">
        <v>1666</v>
      </c>
      <c r="D646" s="13">
        <v>44762</v>
      </c>
      <c r="E646" s="12" t="s">
        <v>1684</v>
      </c>
      <c r="F646" s="12" t="s">
        <v>1682</v>
      </c>
      <c r="G646" s="31">
        <v>130</v>
      </c>
      <c r="H646" s="12" t="s">
        <v>21</v>
      </c>
      <c r="I646" s="14">
        <v>3</v>
      </c>
      <c r="J646" s="15">
        <f ca="1">RAND()</f>
        <v>0.16776294206407028</v>
      </c>
      <c r="K646" s="31">
        <f t="shared" ref="K646:K709" si="30">PRODUCT(I646,G646)</f>
        <v>390</v>
      </c>
      <c r="L646" s="31">
        <f t="shared" ref="L646:L709" ca="1" si="31">ROUND(K646*(1-J646),0)</f>
        <v>325</v>
      </c>
      <c r="M646" s="36">
        <f t="shared" ca="1" si="29"/>
        <v>-65</v>
      </c>
    </row>
    <row r="647" spans="2:13">
      <c r="B647" s="16" t="s">
        <v>1349</v>
      </c>
      <c r="C647" s="16" t="s">
        <v>1660</v>
      </c>
      <c r="D647" s="17">
        <v>44769</v>
      </c>
      <c r="E647" s="16" t="s">
        <v>1679</v>
      </c>
      <c r="F647" s="16" t="s">
        <v>1680</v>
      </c>
      <c r="G647" s="32">
        <v>72</v>
      </c>
      <c r="H647" s="16" t="s">
        <v>26</v>
      </c>
      <c r="I647" s="18">
        <v>11</v>
      </c>
      <c r="J647" s="19">
        <f ca="1">RAND()</f>
        <v>5.7888824750159773E-2</v>
      </c>
      <c r="K647" s="32">
        <f t="shared" si="30"/>
        <v>792</v>
      </c>
      <c r="L647" s="32">
        <f t="shared" ca="1" si="31"/>
        <v>746</v>
      </c>
      <c r="M647" s="37">
        <f t="shared" ref="M647:M710" ca="1" si="32">ROUND(L647-K647,0)</f>
        <v>-46</v>
      </c>
    </row>
    <row r="648" spans="2:13">
      <c r="B648" s="12" t="s">
        <v>1351</v>
      </c>
      <c r="C648" s="12" t="s">
        <v>1662</v>
      </c>
      <c r="D648" s="13">
        <v>44770</v>
      </c>
      <c r="E648" s="12" t="s">
        <v>1681</v>
      </c>
      <c r="F648" s="12" t="s">
        <v>1682</v>
      </c>
      <c r="G648" s="31">
        <v>65</v>
      </c>
      <c r="H648" s="12" t="s">
        <v>32</v>
      </c>
      <c r="I648" s="14">
        <v>13</v>
      </c>
      <c r="J648" s="15">
        <f ca="1">RAND()</f>
        <v>0.36154462040267299</v>
      </c>
      <c r="K648" s="31">
        <f t="shared" si="30"/>
        <v>845</v>
      </c>
      <c r="L648" s="31">
        <f t="shared" ca="1" si="31"/>
        <v>539</v>
      </c>
      <c r="M648" s="36">
        <f t="shared" ca="1" si="32"/>
        <v>-306</v>
      </c>
    </row>
    <row r="649" spans="2:13">
      <c r="B649" s="16" t="s">
        <v>1353</v>
      </c>
      <c r="C649" s="16" t="s">
        <v>1664</v>
      </c>
      <c r="D649" s="17">
        <v>44797</v>
      </c>
      <c r="E649" s="16" t="s">
        <v>1683</v>
      </c>
      <c r="F649" s="16" t="s">
        <v>1680</v>
      </c>
      <c r="G649" s="32">
        <v>250</v>
      </c>
      <c r="H649" s="16" t="s">
        <v>21</v>
      </c>
      <c r="I649" s="18">
        <v>3</v>
      </c>
      <c r="J649" s="19">
        <f ca="1">RAND()</f>
        <v>0.23653270720367459</v>
      </c>
      <c r="K649" s="32">
        <f t="shared" si="30"/>
        <v>750</v>
      </c>
      <c r="L649" s="32">
        <f t="shared" ca="1" si="31"/>
        <v>573</v>
      </c>
      <c r="M649" s="37">
        <f t="shared" ca="1" si="32"/>
        <v>-177</v>
      </c>
    </row>
    <row r="650" spans="2:13">
      <c r="B650" s="12" t="s">
        <v>1355</v>
      </c>
      <c r="C650" s="12" t="s">
        <v>1666</v>
      </c>
      <c r="D650" s="13">
        <v>44783</v>
      </c>
      <c r="E650" s="12" t="s">
        <v>1684</v>
      </c>
      <c r="F650" s="12" t="s">
        <v>1682</v>
      </c>
      <c r="G650" s="31">
        <v>130</v>
      </c>
      <c r="H650" s="12" t="s">
        <v>26</v>
      </c>
      <c r="I650" s="14">
        <v>3</v>
      </c>
      <c r="J650" s="15">
        <f ca="1">RAND()</f>
        <v>0.46200264232140631</v>
      </c>
      <c r="K650" s="31">
        <f t="shared" si="30"/>
        <v>390</v>
      </c>
      <c r="L650" s="31">
        <f t="shared" ca="1" si="31"/>
        <v>210</v>
      </c>
      <c r="M650" s="36">
        <f t="shared" ca="1" si="32"/>
        <v>-180</v>
      </c>
    </row>
    <row r="651" spans="2:13">
      <c r="B651" s="16" t="s">
        <v>1357</v>
      </c>
      <c r="C651" s="16" t="s">
        <v>1668</v>
      </c>
      <c r="D651" s="17">
        <v>44801</v>
      </c>
      <c r="E651" s="16" t="s">
        <v>1685</v>
      </c>
      <c r="F651" s="16" t="s">
        <v>1680</v>
      </c>
      <c r="G651" s="32">
        <v>60</v>
      </c>
      <c r="H651" s="16" t="s">
        <v>32</v>
      </c>
      <c r="I651" s="18">
        <v>6</v>
      </c>
      <c r="J651" s="19">
        <f ca="1">RAND()</f>
        <v>0.42175202131868517</v>
      </c>
      <c r="K651" s="32">
        <f t="shared" si="30"/>
        <v>360</v>
      </c>
      <c r="L651" s="32">
        <f t="shared" ca="1" si="31"/>
        <v>208</v>
      </c>
      <c r="M651" s="37">
        <f t="shared" ca="1" si="32"/>
        <v>-152</v>
      </c>
    </row>
    <row r="652" spans="2:13">
      <c r="B652" s="12" t="s">
        <v>1359</v>
      </c>
      <c r="C652" s="12" t="s">
        <v>1660</v>
      </c>
      <c r="D652" s="13">
        <v>44808</v>
      </c>
      <c r="E652" s="12" t="s">
        <v>1679</v>
      </c>
      <c r="F652" s="12" t="s">
        <v>1682</v>
      </c>
      <c r="G652" s="31">
        <v>72</v>
      </c>
      <c r="H652" s="12" t="s">
        <v>21</v>
      </c>
      <c r="I652" s="14">
        <v>6</v>
      </c>
      <c r="J652" s="15">
        <f ca="1">RAND()</f>
        <v>0.18089293780068494</v>
      </c>
      <c r="K652" s="31">
        <f t="shared" si="30"/>
        <v>432</v>
      </c>
      <c r="L652" s="31">
        <f t="shared" ca="1" si="31"/>
        <v>354</v>
      </c>
      <c r="M652" s="36">
        <f t="shared" ca="1" si="32"/>
        <v>-78</v>
      </c>
    </row>
    <row r="653" spans="2:13">
      <c r="B653" s="16" t="s">
        <v>1361</v>
      </c>
      <c r="C653" s="16" t="s">
        <v>1662</v>
      </c>
      <c r="D653" s="17">
        <v>44808</v>
      </c>
      <c r="E653" s="16" t="s">
        <v>1681</v>
      </c>
      <c r="F653" s="16" t="s">
        <v>1680</v>
      </c>
      <c r="G653" s="32">
        <v>65</v>
      </c>
      <c r="H653" s="16" t="s">
        <v>26</v>
      </c>
      <c r="I653" s="18">
        <v>5</v>
      </c>
      <c r="J653" s="19">
        <f ca="1">RAND()</f>
        <v>0.66020613820233054</v>
      </c>
      <c r="K653" s="32">
        <f t="shared" si="30"/>
        <v>325</v>
      </c>
      <c r="L653" s="32">
        <f t="shared" ca="1" si="31"/>
        <v>110</v>
      </c>
      <c r="M653" s="37">
        <f t="shared" ca="1" si="32"/>
        <v>-215</v>
      </c>
    </row>
    <row r="654" spans="2:13">
      <c r="B654" s="12" t="s">
        <v>1363</v>
      </c>
      <c r="C654" s="12" t="s">
        <v>1664</v>
      </c>
      <c r="D654" s="13">
        <v>44781</v>
      </c>
      <c r="E654" s="12" t="s">
        <v>1683</v>
      </c>
      <c r="F654" s="12" t="s">
        <v>1682</v>
      </c>
      <c r="G654" s="31">
        <v>250</v>
      </c>
      <c r="H654" s="12" t="s">
        <v>32</v>
      </c>
      <c r="I654" s="14">
        <v>3</v>
      </c>
      <c r="J654" s="15">
        <f ca="1">RAND()</f>
        <v>0.82280485610745424</v>
      </c>
      <c r="K654" s="31">
        <f t="shared" si="30"/>
        <v>750</v>
      </c>
      <c r="L654" s="31">
        <f t="shared" ca="1" si="31"/>
        <v>133</v>
      </c>
      <c r="M654" s="36">
        <f t="shared" ca="1" si="32"/>
        <v>-617</v>
      </c>
    </row>
    <row r="655" spans="2:13">
      <c r="B655" s="16" t="s">
        <v>1365</v>
      </c>
      <c r="C655" s="16" t="s">
        <v>1666</v>
      </c>
      <c r="D655" s="17">
        <v>44783</v>
      </c>
      <c r="E655" s="16" t="s">
        <v>1684</v>
      </c>
      <c r="F655" s="16" t="s">
        <v>1680</v>
      </c>
      <c r="G655" s="32">
        <v>130</v>
      </c>
      <c r="H655" s="16" t="s">
        <v>21</v>
      </c>
      <c r="I655" s="18">
        <v>6</v>
      </c>
      <c r="J655" s="19">
        <f ca="1">RAND()</f>
        <v>9.6324385427300596E-2</v>
      </c>
      <c r="K655" s="32">
        <f t="shared" si="30"/>
        <v>780</v>
      </c>
      <c r="L655" s="32">
        <f t="shared" ca="1" si="31"/>
        <v>705</v>
      </c>
      <c r="M655" s="37">
        <f t="shared" ca="1" si="32"/>
        <v>-75</v>
      </c>
    </row>
    <row r="656" spans="2:13">
      <c r="B656" s="12" t="s">
        <v>1367</v>
      </c>
      <c r="C656" s="12" t="s">
        <v>1660</v>
      </c>
      <c r="D656" s="13">
        <v>44762</v>
      </c>
      <c r="E656" s="12" t="s">
        <v>1679</v>
      </c>
      <c r="F656" s="12" t="s">
        <v>1682</v>
      </c>
      <c r="G656" s="31">
        <v>72</v>
      </c>
      <c r="H656" s="12" t="s">
        <v>26</v>
      </c>
      <c r="I656" s="14">
        <v>5</v>
      </c>
      <c r="J656" s="15">
        <f ca="1">RAND()</f>
        <v>0.21547001649787323</v>
      </c>
      <c r="K656" s="31">
        <f t="shared" si="30"/>
        <v>360</v>
      </c>
      <c r="L656" s="31">
        <f t="shared" ca="1" si="31"/>
        <v>282</v>
      </c>
      <c r="M656" s="36">
        <f t="shared" ca="1" si="32"/>
        <v>-78</v>
      </c>
    </row>
    <row r="657" spans="2:13">
      <c r="B657" s="16" t="s">
        <v>1369</v>
      </c>
      <c r="C657" s="16" t="s">
        <v>1662</v>
      </c>
      <c r="D657" s="17">
        <v>44800</v>
      </c>
      <c r="E657" s="16" t="s">
        <v>1681</v>
      </c>
      <c r="F657" s="16" t="s">
        <v>1680</v>
      </c>
      <c r="G657" s="32">
        <v>65</v>
      </c>
      <c r="H657" s="16" t="s">
        <v>32</v>
      </c>
      <c r="I657" s="18">
        <v>10</v>
      </c>
      <c r="J657" s="19">
        <f ca="1">RAND()</f>
        <v>0.7246536509503968</v>
      </c>
      <c r="K657" s="32">
        <f t="shared" si="30"/>
        <v>650</v>
      </c>
      <c r="L657" s="32">
        <f t="shared" ca="1" si="31"/>
        <v>179</v>
      </c>
      <c r="M657" s="37">
        <f t="shared" ca="1" si="32"/>
        <v>-471</v>
      </c>
    </row>
    <row r="658" spans="2:13">
      <c r="B658" s="12" t="s">
        <v>1371</v>
      </c>
      <c r="C658" s="12" t="s">
        <v>1664</v>
      </c>
      <c r="D658" s="13">
        <v>44799</v>
      </c>
      <c r="E658" s="12" t="s">
        <v>1683</v>
      </c>
      <c r="F658" s="12" t="s">
        <v>1682</v>
      </c>
      <c r="G658" s="31">
        <v>250</v>
      </c>
      <c r="H658" s="12" t="s">
        <v>21</v>
      </c>
      <c r="I658" s="14">
        <v>2</v>
      </c>
      <c r="J658" s="15">
        <f ca="1">RAND()</f>
        <v>0.59492543056530667</v>
      </c>
      <c r="K658" s="31">
        <f t="shared" si="30"/>
        <v>500</v>
      </c>
      <c r="L658" s="31">
        <f t="shared" ca="1" si="31"/>
        <v>203</v>
      </c>
      <c r="M658" s="36">
        <f t="shared" ca="1" si="32"/>
        <v>-297</v>
      </c>
    </row>
    <row r="659" spans="2:13">
      <c r="B659" s="16" t="s">
        <v>1373</v>
      </c>
      <c r="C659" s="16" t="s">
        <v>1666</v>
      </c>
      <c r="D659" s="17">
        <v>44777</v>
      </c>
      <c r="E659" s="16" t="s">
        <v>1684</v>
      </c>
      <c r="F659" s="16" t="s">
        <v>1680</v>
      </c>
      <c r="G659" s="32">
        <v>130</v>
      </c>
      <c r="H659" s="16" t="s">
        <v>26</v>
      </c>
      <c r="I659" s="18">
        <v>2</v>
      </c>
      <c r="J659" s="19">
        <f ca="1">RAND()</f>
        <v>0.92670076573238369</v>
      </c>
      <c r="K659" s="32">
        <f t="shared" si="30"/>
        <v>260</v>
      </c>
      <c r="L659" s="32">
        <f t="shared" ca="1" si="31"/>
        <v>19</v>
      </c>
      <c r="M659" s="37">
        <f t="shared" ca="1" si="32"/>
        <v>-241</v>
      </c>
    </row>
    <row r="660" spans="2:13">
      <c r="B660" s="12" t="s">
        <v>1375</v>
      </c>
      <c r="C660" s="12" t="s">
        <v>1668</v>
      </c>
      <c r="D660" s="13">
        <v>44800</v>
      </c>
      <c r="E660" s="12" t="s">
        <v>1685</v>
      </c>
      <c r="F660" s="12" t="s">
        <v>1680</v>
      </c>
      <c r="G660" s="31">
        <v>60</v>
      </c>
      <c r="H660" s="12" t="s">
        <v>32</v>
      </c>
      <c r="I660" s="14">
        <v>10</v>
      </c>
      <c r="J660" s="15">
        <f ca="1">RAND()</f>
        <v>0.42497356487013282</v>
      </c>
      <c r="K660" s="31">
        <f t="shared" si="30"/>
        <v>600</v>
      </c>
      <c r="L660" s="31">
        <f t="shared" ca="1" si="31"/>
        <v>345</v>
      </c>
      <c r="M660" s="36">
        <f t="shared" ca="1" si="32"/>
        <v>-255</v>
      </c>
    </row>
    <row r="661" spans="2:13">
      <c r="B661" s="16" t="s">
        <v>1377</v>
      </c>
      <c r="C661" s="16" t="s">
        <v>1669</v>
      </c>
      <c r="D661" s="17">
        <v>44770</v>
      </c>
      <c r="E661" s="16" t="s">
        <v>1686</v>
      </c>
      <c r="F661" s="16" t="s">
        <v>1682</v>
      </c>
      <c r="G661" s="32">
        <v>95</v>
      </c>
      <c r="H661" s="16" t="s">
        <v>21</v>
      </c>
      <c r="I661" s="18">
        <v>3</v>
      </c>
      <c r="J661" s="19">
        <f ca="1">RAND()</f>
        <v>0.48062634618823086</v>
      </c>
      <c r="K661" s="32">
        <f t="shared" si="30"/>
        <v>285</v>
      </c>
      <c r="L661" s="32">
        <f t="shared" ca="1" si="31"/>
        <v>148</v>
      </c>
      <c r="M661" s="37">
        <f t="shared" ca="1" si="32"/>
        <v>-137</v>
      </c>
    </row>
    <row r="662" spans="2:13">
      <c r="B662" s="12" t="s">
        <v>1379</v>
      </c>
      <c r="C662" s="12" t="s">
        <v>1660</v>
      </c>
      <c r="D662" s="13">
        <v>44774</v>
      </c>
      <c r="E662" s="12" t="s">
        <v>1679</v>
      </c>
      <c r="F662" s="12" t="s">
        <v>1682</v>
      </c>
      <c r="G662" s="31">
        <v>72</v>
      </c>
      <c r="H662" s="12" t="s">
        <v>26</v>
      </c>
      <c r="I662" s="14">
        <v>6</v>
      </c>
      <c r="J662" s="15">
        <f ca="1">RAND()</f>
        <v>0.29808551467069611</v>
      </c>
      <c r="K662" s="31">
        <f t="shared" si="30"/>
        <v>432</v>
      </c>
      <c r="L662" s="31">
        <f t="shared" ca="1" si="31"/>
        <v>303</v>
      </c>
      <c r="M662" s="36">
        <f t="shared" ca="1" si="32"/>
        <v>-129</v>
      </c>
    </row>
    <row r="663" spans="2:13">
      <c r="B663" s="16" t="s">
        <v>1381</v>
      </c>
      <c r="C663" s="16" t="s">
        <v>1662</v>
      </c>
      <c r="D663" s="17">
        <v>44779</v>
      </c>
      <c r="E663" s="16" t="s">
        <v>1681</v>
      </c>
      <c r="F663" s="16" t="s">
        <v>1682</v>
      </c>
      <c r="G663" s="32">
        <v>65</v>
      </c>
      <c r="H663" s="16" t="s">
        <v>32</v>
      </c>
      <c r="I663" s="18">
        <v>8</v>
      </c>
      <c r="J663" s="19">
        <f ca="1">RAND()</f>
        <v>0.98760923139084256</v>
      </c>
      <c r="K663" s="32">
        <f t="shared" si="30"/>
        <v>520</v>
      </c>
      <c r="L663" s="32">
        <f t="shared" ca="1" si="31"/>
        <v>6</v>
      </c>
      <c r="M663" s="37">
        <f t="shared" ca="1" si="32"/>
        <v>-514</v>
      </c>
    </row>
    <row r="664" spans="2:13">
      <c r="B664" s="12" t="s">
        <v>1383</v>
      </c>
      <c r="C664" s="12" t="s">
        <v>1664</v>
      </c>
      <c r="D664" s="13">
        <v>44796</v>
      </c>
      <c r="E664" s="12" t="s">
        <v>1683</v>
      </c>
      <c r="F664" s="12" t="s">
        <v>1680</v>
      </c>
      <c r="G664" s="31">
        <v>250</v>
      </c>
      <c r="H664" s="12" t="s">
        <v>21</v>
      </c>
      <c r="I664" s="14">
        <v>2</v>
      </c>
      <c r="J664" s="15">
        <f ca="1">RAND()</f>
        <v>0.96297925063527068</v>
      </c>
      <c r="K664" s="31">
        <f t="shared" si="30"/>
        <v>500</v>
      </c>
      <c r="L664" s="31">
        <f t="shared" ca="1" si="31"/>
        <v>19</v>
      </c>
      <c r="M664" s="36">
        <f t="shared" ca="1" si="32"/>
        <v>-481</v>
      </c>
    </row>
    <row r="665" spans="2:13">
      <c r="B665" s="16" t="s">
        <v>1385</v>
      </c>
      <c r="C665" s="16" t="s">
        <v>1666</v>
      </c>
      <c r="D665" s="17">
        <v>44772</v>
      </c>
      <c r="E665" s="16" t="s">
        <v>1684</v>
      </c>
      <c r="F665" s="16" t="s">
        <v>1680</v>
      </c>
      <c r="G665" s="32">
        <v>130</v>
      </c>
      <c r="H665" s="16" t="s">
        <v>26</v>
      </c>
      <c r="I665" s="18">
        <v>2</v>
      </c>
      <c r="J665" s="19">
        <f ca="1">RAND()</f>
        <v>0.65642219888795095</v>
      </c>
      <c r="K665" s="32">
        <f t="shared" si="30"/>
        <v>260</v>
      </c>
      <c r="L665" s="32">
        <f t="shared" ca="1" si="31"/>
        <v>89</v>
      </c>
      <c r="M665" s="37">
        <f t="shared" ca="1" si="32"/>
        <v>-171</v>
      </c>
    </row>
    <row r="666" spans="2:13">
      <c r="B666" s="12" t="s">
        <v>1387</v>
      </c>
      <c r="C666" s="12" t="s">
        <v>1660</v>
      </c>
      <c r="D666" s="13">
        <v>44809</v>
      </c>
      <c r="E666" s="12" t="s">
        <v>1679</v>
      </c>
      <c r="F666" s="12" t="s">
        <v>1680</v>
      </c>
      <c r="G666" s="31">
        <v>72</v>
      </c>
      <c r="H666" s="12" t="s">
        <v>32</v>
      </c>
      <c r="I666" s="14">
        <v>9</v>
      </c>
      <c r="J666" s="15">
        <f ca="1">RAND()</f>
        <v>0.15414577703406662</v>
      </c>
      <c r="K666" s="31">
        <f t="shared" si="30"/>
        <v>648</v>
      </c>
      <c r="L666" s="31">
        <f t="shared" ca="1" si="31"/>
        <v>548</v>
      </c>
      <c r="M666" s="36">
        <f t="shared" ca="1" si="32"/>
        <v>-100</v>
      </c>
    </row>
    <row r="667" spans="2:13">
      <c r="B667" s="16" t="s">
        <v>1389</v>
      </c>
      <c r="C667" s="16" t="s">
        <v>1662</v>
      </c>
      <c r="D667" s="17">
        <v>44757</v>
      </c>
      <c r="E667" s="16" t="s">
        <v>1681</v>
      </c>
      <c r="F667" s="16" t="s">
        <v>1680</v>
      </c>
      <c r="G667" s="32">
        <v>65</v>
      </c>
      <c r="H667" s="16" t="s">
        <v>21</v>
      </c>
      <c r="I667" s="18">
        <v>4</v>
      </c>
      <c r="J667" s="19">
        <f ca="1">RAND()</f>
        <v>0.79981202382868988</v>
      </c>
      <c r="K667" s="32">
        <f t="shared" si="30"/>
        <v>260</v>
      </c>
      <c r="L667" s="32">
        <f t="shared" ca="1" si="31"/>
        <v>52</v>
      </c>
      <c r="M667" s="37">
        <f t="shared" ca="1" si="32"/>
        <v>-208</v>
      </c>
    </row>
    <row r="668" spans="2:13">
      <c r="B668" s="12" t="s">
        <v>1391</v>
      </c>
      <c r="C668" s="12" t="s">
        <v>1664</v>
      </c>
      <c r="D668" s="13">
        <v>44782</v>
      </c>
      <c r="E668" s="12" t="s">
        <v>1683</v>
      </c>
      <c r="F668" s="12" t="s">
        <v>1680</v>
      </c>
      <c r="G668" s="31">
        <v>250</v>
      </c>
      <c r="H668" s="12" t="s">
        <v>26</v>
      </c>
      <c r="I668" s="14">
        <v>1</v>
      </c>
      <c r="J668" s="15">
        <f ca="1">RAND()</f>
        <v>0.95729635714669348</v>
      </c>
      <c r="K668" s="31">
        <f t="shared" si="30"/>
        <v>250</v>
      </c>
      <c r="L668" s="31">
        <f t="shared" ca="1" si="31"/>
        <v>11</v>
      </c>
      <c r="M668" s="36">
        <f t="shared" ca="1" si="32"/>
        <v>-239</v>
      </c>
    </row>
    <row r="669" spans="2:13">
      <c r="B669" s="16" t="s">
        <v>1393</v>
      </c>
      <c r="C669" s="16" t="s">
        <v>1666</v>
      </c>
      <c r="D669" s="17">
        <v>44809</v>
      </c>
      <c r="E669" s="16" t="s">
        <v>1684</v>
      </c>
      <c r="F669" s="16" t="s">
        <v>1680</v>
      </c>
      <c r="G669" s="32">
        <v>130</v>
      </c>
      <c r="H669" s="16" t="s">
        <v>32</v>
      </c>
      <c r="I669" s="18">
        <v>5</v>
      </c>
      <c r="J669" s="19">
        <f ca="1">RAND()</f>
        <v>0.97954636196501255</v>
      </c>
      <c r="K669" s="32">
        <f t="shared" si="30"/>
        <v>650</v>
      </c>
      <c r="L669" s="32">
        <f t="shared" ca="1" si="31"/>
        <v>13</v>
      </c>
      <c r="M669" s="37">
        <f t="shared" ca="1" si="32"/>
        <v>-637</v>
      </c>
    </row>
    <row r="670" spans="2:13">
      <c r="B670" s="12" t="s">
        <v>1395</v>
      </c>
      <c r="C670" s="12" t="s">
        <v>1668</v>
      </c>
      <c r="D670" s="13">
        <v>44795</v>
      </c>
      <c r="E670" s="12" t="s">
        <v>1685</v>
      </c>
      <c r="F670" s="12" t="s">
        <v>1680</v>
      </c>
      <c r="G670" s="31">
        <v>60</v>
      </c>
      <c r="H670" s="12" t="s">
        <v>21</v>
      </c>
      <c r="I670" s="14">
        <v>12</v>
      </c>
      <c r="J670" s="15">
        <f ca="1">RAND()</f>
        <v>0.32834946305861401</v>
      </c>
      <c r="K670" s="31">
        <f t="shared" si="30"/>
        <v>720</v>
      </c>
      <c r="L670" s="31">
        <f t="shared" ca="1" si="31"/>
        <v>484</v>
      </c>
      <c r="M670" s="36">
        <f t="shared" ca="1" si="32"/>
        <v>-236</v>
      </c>
    </row>
    <row r="671" spans="2:13">
      <c r="B671" s="16" t="s">
        <v>1397</v>
      </c>
      <c r="C671" s="16" t="s">
        <v>1660</v>
      </c>
      <c r="D671" s="17">
        <v>44801</v>
      </c>
      <c r="E671" s="16" t="s">
        <v>1679</v>
      </c>
      <c r="F671" s="16" t="s">
        <v>1680</v>
      </c>
      <c r="G671" s="32">
        <v>72</v>
      </c>
      <c r="H671" s="16" t="s">
        <v>26</v>
      </c>
      <c r="I671" s="18">
        <v>6</v>
      </c>
      <c r="J671" s="19">
        <f ca="1">RAND()</f>
        <v>0.12730529022264514</v>
      </c>
      <c r="K671" s="32">
        <f t="shared" si="30"/>
        <v>432</v>
      </c>
      <c r="L671" s="32">
        <f t="shared" ca="1" si="31"/>
        <v>377</v>
      </c>
      <c r="M671" s="37">
        <f t="shared" ca="1" si="32"/>
        <v>-55</v>
      </c>
    </row>
    <row r="672" spans="2:13">
      <c r="B672" s="12" t="s">
        <v>1399</v>
      </c>
      <c r="C672" s="12" t="s">
        <v>1662</v>
      </c>
      <c r="D672" s="13">
        <v>44770</v>
      </c>
      <c r="E672" s="12" t="s">
        <v>1681</v>
      </c>
      <c r="F672" s="12" t="s">
        <v>1680</v>
      </c>
      <c r="G672" s="31">
        <v>65</v>
      </c>
      <c r="H672" s="12" t="s">
        <v>32</v>
      </c>
      <c r="I672" s="14">
        <v>6</v>
      </c>
      <c r="J672" s="15">
        <f ca="1">RAND()</f>
        <v>0.68129921714981168</v>
      </c>
      <c r="K672" s="31">
        <f t="shared" si="30"/>
        <v>390</v>
      </c>
      <c r="L672" s="31">
        <f t="shared" ca="1" si="31"/>
        <v>124</v>
      </c>
      <c r="M672" s="36">
        <f t="shared" ca="1" si="32"/>
        <v>-266</v>
      </c>
    </row>
    <row r="673" spans="2:13">
      <c r="B673" s="16" t="s">
        <v>1401</v>
      </c>
      <c r="C673" s="16" t="s">
        <v>1664</v>
      </c>
      <c r="D673" s="17">
        <v>44764</v>
      </c>
      <c r="E673" s="16" t="s">
        <v>1683</v>
      </c>
      <c r="F673" s="16" t="s">
        <v>1682</v>
      </c>
      <c r="G673" s="32">
        <v>250</v>
      </c>
      <c r="H673" s="16" t="s">
        <v>21</v>
      </c>
      <c r="I673" s="18">
        <v>2</v>
      </c>
      <c r="J673" s="19">
        <f ca="1">RAND()</f>
        <v>0.18047233779026606</v>
      </c>
      <c r="K673" s="32">
        <f t="shared" si="30"/>
        <v>500</v>
      </c>
      <c r="L673" s="32">
        <f t="shared" ca="1" si="31"/>
        <v>410</v>
      </c>
      <c r="M673" s="37">
        <f t="shared" ca="1" si="32"/>
        <v>-90</v>
      </c>
    </row>
    <row r="674" spans="2:13">
      <c r="B674" s="12" t="s">
        <v>1403</v>
      </c>
      <c r="C674" s="12" t="s">
        <v>1666</v>
      </c>
      <c r="D674" s="13">
        <v>44776</v>
      </c>
      <c r="E674" s="12" t="s">
        <v>1684</v>
      </c>
      <c r="F674" s="12" t="s">
        <v>1680</v>
      </c>
      <c r="G674" s="31">
        <v>130</v>
      </c>
      <c r="H674" s="12" t="s">
        <v>26</v>
      </c>
      <c r="I674" s="14">
        <v>4</v>
      </c>
      <c r="J674" s="15">
        <f ca="1">RAND()</f>
        <v>0.86930478295873448</v>
      </c>
      <c r="K674" s="31">
        <f t="shared" si="30"/>
        <v>520</v>
      </c>
      <c r="L674" s="31">
        <f t="shared" ca="1" si="31"/>
        <v>68</v>
      </c>
      <c r="M674" s="36">
        <f t="shared" ca="1" si="32"/>
        <v>-452</v>
      </c>
    </row>
    <row r="675" spans="2:13">
      <c r="B675" s="16" t="s">
        <v>1405</v>
      </c>
      <c r="C675" s="16" t="s">
        <v>1660</v>
      </c>
      <c r="D675" s="17">
        <v>44771</v>
      </c>
      <c r="E675" s="16" t="s">
        <v>1679</v>
      </c>
      <c r="F675" s="16" t="s">
        <v>1680</v>
      </c>
      <c r="G675" s="32">
        <v>72</v>
      </c>
      <c r="H675" s="16" t="s">
        <v>32</v>
      </c>
      <c r="I675" s="18">
        <v>10</v>
      </c>
      <c r="J675" s="19">
        <f ca="1">RAND()</f>
        <v>0.8111751086697897</v>
      </c>
      <c r="K675" s="32">
        <f t="shared" si="30"/>
        <v>720</v>
      </c>
      <c r="L675" s="32">
        <f t="shared" ca="1" si="31"/>
        <v>136</v>
      </c>
      <c r="M675" s="37">
        <f t="shared" ca="1" si="32"/>
        <v>-584</v>
      </c>
    </row>
    <row r="676" spans="2:13">
      <c r="B676" s="12" t="s">
        <v>1407</v>
      </c>
      <c r="C676" s="12" t="s">
        <v>1662</v>
      </c>
      <c r="D676" s="13">
        <v>44794</v>
      </c>
      <c r="E676" s="12" t="s">
        <v>1681</v>
      </c>
      <c r="F676" s="12" t="s">
        <v>1680</v>
      </c>
      <c r="G676" s="31">
        <v>65</v>
      </c>
      <c r="H676" s="12" t="s">
        <v>21</v>
      </c>
      <c r="I676" s="14">
        <v>8</v>
      </c>
      <c r="J676" s="15">
        <f ca="1">RAND()</f>
        <v>0.29676718016106263</v>
      </c>
      <c r="K676" s="31">
        <f t="shared" si="30"/>
        <v>520</v>
      </c>
      <c r="L676" s="31">
        <f t="shared" ca="1" si="31"/>
        <v>366</v>
      </c>
      <c r="M676" s="36">
        <f t="shared" ca="1" si="32"/>
        <v>-154</v>
      </c>
    </row>
    <row r="677" spans="2:13">
      <c r="B677" s="16" t="s">
        <v>1409</v>
      </c>
      <c r="C677" s="16" t="s">
        <v>1664</v>
      </c>
      <c r="D677" s="17">
        <v>44792</v>
      </c>
      <c r="E677" s="16" t="s">
        <v>1683</v>
      </c>
      <c r="F677" s="16" t="s">
        <v>1680</v>
      </c>
      <c r="G677" s="32">
        <v>250</v>
      </c>
      <c r="H677" s="16" t="s">
        <v>26</v>
      </c>
      <c r="I677" s="18">
        <v>2</v>
      </c>
      <c r="J677" s="19">
        <f ca="1">RAND()</f>
        <v>0.12242013398820584</v>
      </c>
      <c r="K677" s="32">
        <f t="shared" si="30"/>
        <v>500</v>
      </c>
      <c r="L677" s="32">
        <f t="shared" ca="1" si="31"/>
        <v>439</v>
      </c>
      <c r="M677" s="37">
        <f t="shared" ca="1" si="32"/>
        <v>-61</v>
      </c>
    </row>
    <row r="678" spans="2:13">
      <c r="B678" s="12" t="s">
        <v>1411</v>
      </c>
      <c r="C678" s="12" t="s">
        <v>1666</v>
      </c>
      <c r="D678" s="13">
        <v>44792</v>
      </c>
      <c r="E678" s="12" t="s">
        <v>1684</v>
      </c>
      <c r="F678" s="12" t="s">
        <v>1680</v>
      </c>
      <c r="G678" s="31">
        <v>130</v>
      </c>
      <c r="H678" s="12" t="s">
        <v>32</v>
      </c>
      <c r="I678" s="14">
        <v>2</v>
      </c>
      <c r="J678" s="15">
        <f ca="1">RAND()</f>
        <v>0.83649228756694294</v>
      </c>
      <c r="K678" s="31">
        <f t="shared" si="30"/>
        <v>260</v>
      </c>
      <c r="L678" s="31">
        <f t="shared" ca="1" si="31"/>
        <v>43</v>
      </c>
      <c r="M678" s="36">
        <f t="shared" ca="1" si="32"/>
        <v>-217</v>
      </c>
    </row>
    <row r="679" spans="2:13">
      <c r="B679" s="16" t="s">
        <v>1413</v>
      </c>
      <c r="C679" s="16" t="s">
        <v>1668</v>
      </c>
      <c r="D679" s="17">
        <v>44790</v>
      </c>
      <c r="E679" s="16" t="s">
        <v>1685</v>
      </c>
      <c r="F679" s="16" t="s">
        <v>1682</v>
      </c>
      <c r="G679" s="32">
        <v>60</v>
      </c>
      <c r="H679" s="16" t="s">
        <v>21</v>
      </c>
      <c r="I679" s="18">
        <v>14</v>
      </c>
      <c r="J679" s="19">
        <f ca="1">RAND()</f>
        <v>0.20935959258997772</v>
      </c>
      <c r="K679" s="32">
        <f t="shared" si="30"/>
        <v>840</v>
      </c>
      <c r="L679" s="32">
        <f t="shared" ca="1" si="31"/>
        <v>664</v>
      </c>
      <c r="M679" s="37">
        <f t="shared" ca="1" si="32"/>
        <v>-176</v>
      </c>
    </row>
    <row r="680" spans="2:13">
      <c r="B680" s="12" t="s">
        <v>1415</v>
      </c>
      <c r="C680" s="12" t="s">
        <v>1669</v>
      </c>
      <c r="D680" s="13">
        <v>44809</v>
      </c>
      <c r="E680" s="12" t="s">
        <v>1686</v>
      </c>
      <c r="F680" s="12" t="s">
        <v>1680</v>
      </c>
      <c r="G680" s="31">
        <v>95</v>
      </c>
      <c r="H680" s="12" t="s">
        <v>26</v>
      </c>
      <c r="I680" s="14">
        <v>3</v>
      </c>
      <c r="J680" s="15">
        <f ca="1">RAND()</f>
        <v>0.89068618045308945</v>
      </c>
      <c r="K680" s="31">
        <f t="shared" si="30"/>
        <v>285</v>
      </c>
      <c r="L680" s="31">
        <f t="shared" ca="1" si="31"/>
        <v>31</v>
      </c>
      <c r="M680" s="36">
        <f t="shared" ca="1" si="32"/>
        <v>-254</v>
      </c>
    </row>
    <row r="681" spans="2:13">
      <c r="B681" s="16" t="s">
        <v>1417</v>
      </c>
      <c r="C681" s="16" t="s">
        <v>1660</v>
      </c>
      <c r="D681" s="17">
        <v>44772</v>
      </c>
      <c r="E681" s="16" t="s">
        <v>1679</v>
      </c>
      <c r="F681" s="16" t="s">
        <v>1680</v>
      </c>
      <c r="G681" s="32">
        <v>72</v>
      </c>
      <c r="H681" s="16" t="s">
        <v>32</v>
      </c>
      <c r="I681" s="18">
        <v>6</v>
      </c>
      <c r="J681" s="19">
        <f ca="1">RAND()</f>
        <v>0.74518271086443344</v>
      </c>
      <c r="K681" s="32">
        <f t="shared" si="30"/>
        <v>432</v>
      </c>
      <c r="L681" s="32">
        <f t="shared" ca="1" si="31"/>
        <v>110</v>
      </c>
      <c r="M681" s="37">
        <f t="shared" ca="1" si="32"/>
        <v>-322</v>
      </c>
    </row>
    <row r="682" spans="2:13">
      <c r="B682" s="12" t="s">
        <v>1419</v>
      </c>
      <c r="C682" s="12" t="s">
        <v>1662</v>
      </c>
      <c r="D682" s="13">
        <v>44802</v>
      </c>
      <c r="E682" s="12" t="s">
        <v>1681</v>
      </c>
      <c r="F682" s="12" t="s">
        <v>1680</v>
      </c>
      <c r="G682" s="31">
        <v>65</v>
      </c>
      <c r="H682" s="12" t="s">
        <v>21</v>
      </c>
      <c r="I682" s="14">
        <v>12</v>
      </c>
      <c r="J682" s="15">
        <f ca="1">RAND()</f>
        <v>8.0318821422229458E-2</v>
      </c>
      <c r="K682" s="31">
        <f t="shared" si="30"/>
        <v>780</v>
      </c>
      <c r="L682" s="31">
        <f t="shared" ca="1" si="31"/>
        <v>717</v>
      </c>
      <c r="M682" s="36">
        <f t="shared" ca="1" si="32"/>
        <v>-63</v>
      </c>
    </row>
    <row r="683" spans="2:13">
      <c r="B683" s="16" t="s">
        <v>1421</v>
      </c>
      <c r="C683" s="16" t="s">
        <v>1664</v>
      </c>
      <c r="D683" s="17">
        <v>44809</v>
      </c>
      <c r="E683" s="16" t="s">
        <v>1683</v>
      </c>
      <c r="F683" s="16" t="s">
        <v>1682</v>
      </c>
      <c r="G683" s="32">
        <v>250</v>
      </c>
      <c r="H683" s="16" t="s">
        <v>26</v>
      </c>
      <c r="I683" s="18">
        <v>2</v>
      </c>
      <c r="J683" s="19">
        <f ca="1">RAND()</f>
        <v>0.47404187012616128</v>
      </c>
      <c r="K683" s="32">
        <f t="shared" si="30"/>
        <v>500</v>
      </c>
      <c r="L683" s="32">
        <f t="shared" ca="1" si="31"/>
        <v>263</v>
      </c>
      <c r="M683" s="37">
        <f t="shared" ca="1" si="32"/>
        <v>-237</v>
      </c>
    </row>
    <row r="684" spans="2:13">
      <c r="B684" s="12" t="s">
        <v>1423</v>
      </c>
      <c r="C684" s="12" t="s">
        <v>1666</v>
      </c>
      <c r="D684" s="13">
        <v>44793</v>
      </c>
      <c r="E684" s="12" t="s">
        <v>1684</v>
      </c>
      <c r="F684" s="12" t="s">
        <v>1682</v>
      </c>
      <c r="G684" s="31">
        <v>130</v>
      </c>
      <c r="H684" s="12" t="s">
        <v>32</v>
      </c>
      <c r="I684" s="14">
        <v>2</v>
      </c>
      <c r="J684" s="15">
        <f ca="1">RAND()</f>
        <v>0.88399965528066693</v>
      </c>
      <c r="K684" s="31">
        <f t="shared" si="30"/>
        <v>260</v>
      </c>
      <c r="L684" s="31">
        <f t="shared" ca="1" si="31"/>
        <v>30</v>
      </c>
      <c r="M684" s="36">
        <f t="shared" ca="1" si="32"/>
        <v>-230</v>
      </c>
    </row>
    <row r="685" spans="2:13">
      <c r="B685" s="16" t="s">
        <v>1425</v>
      </c>
      <c r="C685" s="16" t="s">
        <v>1660</v>
      </c>
      <c r="D685" s="17">
        <v>44802</v>
      </c>
      <c r="E685" s="16" t="s">
        <v>1679</v>
      </c>
      <c r="F685" s="16" t="s">
        <v>1682</v>
      </c>
      <c r="G685" s="32">
        <v>72</v>
      </c>
      <c r="H685" s="16" t="s">
        <v>21</v>
      </c>
      <c r="I685" s="18">
        <v>8</v>
      </c>
      <c r="J685" s="19">
        <f ca="1">RAND()</f>
        <v>0.72125630150725561</v>
      </c>
      <c r="K685" s="32">
        <f t="shared" si="30"/>
        <v>576</v>
      </c>
      <c r="L685" s="32">
        <f t="shared" ca="1" si="31"/>
        <v>161</v>
      </c>
      <c r="M685" s="37">
        <f t="shared" ca="1" si="32"/>
        <v>-415</v>
      </c>
    </row>
    <row r="686" spans="2:13">
      <c r="B686" s="12" t="s">
        <v>1427</v>
      </c>
      <c r="C686" s="12" t="s">
        <v>1662</v>
      </c>
      <c r="D686" s="13">
        <v>44766</v>
      </c>
      <c r="E686" s="12" t="s">
        <v>1681</v>
      </c>
      <c r="F686" s="12" t="s">
        <v>1682</v>
      </c>
      <c r="G686" s="31">
        <v>65</v>
      </c>
      <c r="H686" s="12" t="s">
        <v>26</v>
      </c>
      <c r="I686" s="14">
        <v>10</v>
      </c>
      <c r="J686" s="15">
        <f ca="1">RAND()</f>
        <v>0.86430769345376313</v>
      </c>
      <c r="K686" s="31">
        <f t="shared" si="30"/>
        <v>650</v>
      </c>
      <c r="L686" s="31">
        <f t="shared" ca="1" si="31"/>
        <v>88</v>
      </c>
      <c r="M686" s="36">
        <f t="shared" ca="1" si="32"/>
        <v>-562</v>
      </c>
    </row>
    <row r="687" spans="2:13">
      <c r="B687" s="16" t="s">
        <v>1429</v>
      </c>
      <c r="C687" s="16" t="s">
        <v>1664</v>
      </c>
      <c r="D687" s="17">
        <v>44807</v>
      </c>
      <c r="E687" s="16" t="s">
        <v>1683</v>
      </c>
      <c r="F687" s="16" t="s">
        <v>1682</v>
      </c>
      <c r="G687" s="32">
        <v>250</v>
      </c>
      <c r="H687" s="16" t="s">
        <v>32</v>
      </c>
      <c r="I687" s="18">
        <v>3</v>
      </c>
      <c r="J687" s="19">
        <f ca="1">RAND()</f>
        <v>0.92853966888588702</v>
      </c>
      <c r="K687" s="32">
        <f t="shared" si="30"/>
        <v>750</v>
      </c>
      <c r="L687" s="32">
        <f t="shared" ca="1" si="31"/>
        <v>54</v>
      </c>
      <c r="M687" s="37">
        <f t="shared" ca="1" si="32"/>
        <v>-696</v>
      </c>
    </row>
    <row r="688" spans="2:13">
      <c r="B688" s="12" t="s">
        <v>1431</v>
      </c>
      <c r="C688" s="12" t="s">
        <v>1666</v>
      </c>
      <c r="D688" s="13">
        <v>44784</v>
      </c>
      <c r="E688" s="12" t="s">
        <v>1684</v>
      </c>
      <c r="F688" s="12" t="s">
        <v>1682</v>
      </c>
      <c r="G688" s="31">
        <v>130</v>
      </c>
      <c r="H688" s="12" t="s">
        <v>21</v>
      </c>
      <c r="I688" s="14">
        <v>7</v>
      </c>
      <c r="J688" s="15">
        <f ca="1">RAND()</f>
        <v>0.63051264525025785</v>
      </c>
      <c r="K688" s="31">
        <f t="shared" si="30"/>
        <v>910</v>
      </c>
      <c r="L688" s="31">
        <f t="shared" ca="1" si="31"/>
        <v>336</v>
      </c>
      <c r="M688" s="36">
        <f t="shared" ca="1" si="32"/>
        <v>-574</v>
      </c>
    </row>
    <row r="689" spans="2:13">
      <c r="B689" s="16" t="s">
        <v>1433</v>
      </c>
      <c r="C689" s="16" t="s">
        <v>1660</v>
      </c>
      <c r="D689" s="17">
        <v>44763</v>
      </c>
      <c r="E689" s="16" t="s">
        <v>1679</v>
      </c>
      <c r="F689" s="16" t="s">
        <v>1680</v>
      </c>
      <c r="G689" s="32">
        <v>72</v>
      </c>
      <c r="H689" s="16" t="s">
        <v>21</v>
      </c>
      <c r="I689" s="18">
        <v>10</v>
      </c>
      <c r="J689" s="19">
        <f ca="1">RAND()</f>
        <v>0.23645118162086032</v>
      </c>
      <c r="K689" s="32">
        <f t="shared" si="30"/>
        <v>720</v>
      </c>
      <c r="L689" s="32">
        <f t="shared" ca="1" si="31"/>
        <v>550</v>
      </c>
      <c r="M689" s="37">
        <f t="shared" ca="1" si="32"/>
        <v>-170</v>
      </c>
    </row>
    <row r="690" spans="2:13">
      <c r="B690" s="12" t="s">
        <v>1435</v>
      </c>
      <c r="C690" s="12" t="s">
        <v>1662</v>
      </c>
      <c r="D690" s="13">
        <v>44799</v>
      </c>
      <c r="E690" s="12" t="s">
        <v>1681</v>
      </c>
      <c r="F690" s="12" t="s">
        <v>1682</v>
      </c>
      <c r="G690" s="31">
        <v>65</v>
      </c>
      <c r="H690" s="12" t="s">
        <v>26</v>
      </c>
      <c r="I690" s="14">
        <v>13</v>
      </c>
      <c r="J690" s="15">
        <f ca="1">RAND()</f>
        <v>0.32422035841976216</v>
      </c>
      <c r="K690" s="31">
        <f t="shared" si="30"/>
        <v>845</v>
      </c>
      <c r="L690" s="31">
        <f t="shared" ca="1" si="31"/>
        <v>571</v>
      </c>
      <c r="M690" s="36">
        <f t="shared" ca="1" si="32"/>
        <v>-274</v>
      </c>
    </row>
    <row r="691" spans="2:13">
      <c r="B691" s="16" t="s">
        <v>1437</v>
      </c>
      <c r="C691" s="16" t="s">
        <v>1664</v>
      </c>
      <c r="D691" s="17">
        <v>44808</v>
      </c>
      <c r="E691" s="16" t="s">
        <v>1683</v>
      </c>
      <c r="F691" s="16" t="s">
        <v>1680</v>
      </c>
      <c r="G691" s="32">
        <v>250</v>
      </c>
      <c r="H691" s="16" t="s">
        <v>32</v>
      </c>
      <c r="I691" s="18">
        <v>1</v>
      </c>
      <c r="J691" s="19">
        <f ca="1">RAND()</f>
        <v>0.21423460102218328</v>
      </c>
      <c r="K691" s="32">
        <f t="shared" si="30"/>
        <v>250</v>
      </c>
      <c r="L691" s="32">
        <f t="shared" ca="1" si="31"/>
        <v>196</v>
      </c>
      <c r="M691" s="37">
        <f t="shared" ca="1" si="32"/>
        <v>-54</v>
      </c>
    </row>
    <row r="692" spans="2:13">
      <c r="B692" s="12" t="s">
        <v>1439</v>
      </c>
      <c r="C692" s="12" t="s">
        <v>1666</v>
      </c>
      <c r="D692" s="13">
        <v>44786</v>
      </c>
      <c r="E692" s="12" t="s">
        <v>1684</v>
      </c>
      <c r="F692" s="12" t="s">
        <v>1682</v>
      </c>
      <c r="G692" s="31">
        <v>130</v>
      </c>
      <c r="H692" s="12" t="s">
        <v>21</v>
      </c>
      <c r="I692" s="14">
        <v>2</v>
      </c>
      <c r="J692" s="15">
        <f ca="1">RAND()</f>
        <v>0.4542817117429423</v>
      </c>
      <c r="K692" s="31">
        <f t="shared" si="30"/>
        <v>260</v>
      </c>
      <c r="L692" s="31">
        <f t="shared" ca="1" si="31"/>
        <v>142</v>
      </c>
      <c r="M692" s="36">
        <f t="shared" ca="1" si="32"/>
        <v>-118</v>
      </c>
    </row>
    <row r="693" spans="2:13">
      <c r="B693" s="16" t="s">
        <v>1441</v>
      </c>
      <c r="C693" s="16" t="s">
        <v>1660</v>
      </c>
      <c r="D693" s="17">
        <v>44770</v>
      </c>
      <c r="E693" s="16" t="s">
        <v>1679</v>
      </c>
      <c r="F693" s="16" t="s">
        <v>1680</v>
      </c>
      <c r="G693" s="32">
        <v>72</v>
      </c>
      <c r="H693" s="16" t="s">
        <v>26</v>
      </c>
      <c r="I693" s="18">
        <v>10</v>
      </c>
      <c r="J693" s="19">
        <f ca="1">RAND()</f>
        <v>0.38493548148632939</v>
      </c>
      <c r="K693" s="32">
        <f t="shared" si="30"/>
        <v>720</v>
      </c>
      <c r="L693" s="32">
        <f t="shared" ca="1" si="31"/>
        <v>443</v>
      </c>
      <c r="M693" s="37">
        <f t="shared" ca="1" si="32"/>
        <v>-277</v>
      </c>
    </row>
    <row r="694" spans="2:13">
      <c r="B694" s="12" t="s">
        <v>1443</v>
      </c>
      <c r="C694" s="12" t="s">
        <v>1662</v>
      </c>
      <c r="D694" s="13">
        <v>44777</v>
      </c>
      <c r="E694" s="12" t="s">
        <v>1681</v>
      </c>
      <c r="F694" s="12" t="s">
        <v>1682</v>
      </c>
      <c r="G694" s="31">
        <v>65</v>
      </c>
      <c r="H694" s="12" t="s">
        <v>32</v>
      </c>
      <c r="I694" s="14">
        <v>4</v>
      </c>
      <c r="J694" s="15">
        <f ca="1">RAND()</f>
        <v>0.62164036926179977</v>
      </c>
      <c r="K694" s="31">
        <f t="shared" si="30"/>
        <v>260</v>
      </c>
      <c r="L694" s="31">
        <f t="shared" ca="1" si="31"/>
        <v>98</v>
      </c>
      <c r="M694" s="36">
        <f t="shared" ca="1" si="32"/>
        <v>-162</v>
      </c>
    </row>
    <row r="695" spans="2:13">
      <c r="B695" s="16" t="s">
        <v>1445</v>
      </c>
      <c r="C695" s="16" t="s">
        <v>1664</v>
      </c>
      <c r="D695" s="17">
        <v>44780</v>
      </c>
      <c r="E695" s="16" t="s">
        <v>1683</v>
      </c>
      <c r="F695" s="16" t="s">
        <v>1680</v>
      </c>
      <c r="G695" s="32">
        <v>250</v>
      </c>
      <c r="H695" s="16" t="s">
        <v>21</v>
      </c>
      <c r="I695" s="18">
        <v>3</v>
      </c>
      <c r="J695" s="19">
        <f ca="1">RAND()</f>
        <v>0.14129294603680442</v>
      </c>
      <c r="K695" s="32">
        <f t="shared" si="30"/>
        <v>750</v>
      </c>
      <c r="L695" s="32">
        <f t="shared" ca="1" si="31"/>
        <v>644</v>
      </c>
      <c r="M695" s="37">
        <f t="shared" ca="1" si="32"/>
        <v>-106</v>
      </c>
    </row>
    <row r="696" spans="2:13">
      <c r="B696" s="12" t="s">
        <v>1447</v>
      </c>
      <c r="C696" s="12" t="s">
        <v>1666</v>
      </c>
      <c r="D696" s="13">
        <v>44778</v>
      </c>
      <c r="E696" s="12" t="s">
        <v>1684</v>
      </c>
      <c r="F696" s="12" t="s">
        <v>1682</v>
      </c>
      <c r="G696" s="31">
        <v>130</v>
      </c>
      <c r="H696" s="12" t="s">
        <v>26</v>
      </c>
      <c r="I696" s="14">
        <v>4</v>
      </c>
      <c r="J696" s="15">
        <f ca="1">RAND()</f>
        <v>0.2324202657306863</v>
      </c>
      <c r="K696" s="31">
        <f t="shared" si="30"/>
        <v>520</v>
      </c>
      <c r="L696" s="31">
        <f t="shared" ca="1" si="31"/>
        <v>399</v>
      </c>
      <c r="M696" s="36">
        <f t="shared" ca="1" si="32"/>
        <v>-121</v>
      </c>
    </row>
    <row r="697" spans="2:13">
      <c r="B697" s="16" t="s">
        <v>1449</v>
      </c>
      <c r="C697" s="16" t="s">
        <v>1668</v>
      </c>
      <c r="D697" s="17">
        <v>44774</v>
      </c>
      <c r="E697" s="16" t="s">
        <v>1685</v>
      </c>
      <c r="F697" s="16" t="s">
        <v>1680</v>
      </c>
      <c r="G697" s="32">
        <v>60</v>
      </c>
      <c r="H697" s="16" t="s">
        <v>32</v>
      </c>
      <c r="I697" s="18">
        <v>13</v>
      </c>
      <c r="J697" s="19">
        <f ca="1">RAND()</f>
        <v>4.9024214298230673E-2</v>
      </c>
      <c r="K697" s="32">
        <f t="shared" si="30"/>
        <v>780</v>
      </c>
      <c r="L697" s="32">
        <f t="shared" ca="1" si="31"/>
        <v>742</v>
      </c>
      <c r="M697" s="37">
        <f t="shared" ca="1" si="32"/>
        <v>-38</v>
      </c>
    </row>
    <row r="698" spans="2:13">
      <c r="B698" s="12" t="s">
        <v>1451</v>
      </c>
      <c r="C698" s="12" t="s">
        <v>1660</v>
      </c>
      <c r="D698" s="13">
        <v>44760</v>
      </c>
      <c r="E698" s="12" t="s">
        <v>1679</v>
      </c>
      <c r="F698" s="12" t="s">
        <v>1682</v>
      </c>
      <c r="G698" s="31">
        <v>72</v>
      </c>
      <c r="H698" s="12" t="s">
        <v>21</v>
      </c>
      <c r="I698" s="14">
        <v>3</v>
      </c>
      <c r="J698" s="15">
        <f ca="1">RAND()</f>
        <v>0.66326827838021252</v>
      </c>
      <c r="K698" s="31">
        <f t="shared" si="30"/>
        <v>216</v>
      </c>
      <c r="L698" s="31">
        <f t="shared" ca="1" si="31"/>
        <v>73</v>
      </c>
      <c r="M698" s="36">
        <f t="shared" ca="1" si="32"/>
        <v>-143</v>
      </c>
    </row>
    <row r="699" spans="2:13">
      <c r="B699" s="16" t="s">
        <v>1453</v>
      </c>
      <c r="C699" s="16" t="s">
        <v>1662</v>
      </c>
      <c r="D699" s="17">
        <v>44756</v>
      </c>
      <c r="E699" s="16" t="s">
        <v>1681</v>
      </c>
      <c r="F699" s="16" t="s">
        <v>1680</v>
      </c>
      <c r="G699" s="32">
        <v>65</v>
      </c>
      <c r="H699" s="16" t="s">
        <v>26</v>
      </c>
      <c r="I699" s="18">
        <v>9</v>
      </c>
      <c r="J699" s="19">
        <f ca="1">RAND()</f>
        <v>0.49976741418657999</v>
      </c>
      <c r="K699" s="32">
        <f t="shared" si="30"/>
        <v>585</v>
      </c>
      <c r="L699" s="32">
        <f t="shared" ca="1" si="31"/>
        <v>293</v>
      </c>
      <c r="M699" s="37">
        <f t="shared" ca="1" si="32"/>
        <v>-292</v>
      </c>
    </row>
    <row r="700" spans="2:13">
      <c r="B700" s="12" t="s">
        <v>1455</v>
      </c>
      <c r="C700" s="12" t="s">
        <v>1664</v>
      </c>
      <c r="D700" s="13">
        <v>44755</v>
      </c>
      <c r="E700" s="12" t="s">
        <v>1683</v>
      </c>
      <c r="F700" s="12" t="s">
        <v>1682</v>
      </c>
      <c r="G700" s="31">
        <v>250</v>
      </c>
      <c r="H700" s="12" t="s">
        <v>32</v>
      </c>
      <c r="I700" s="14">
        <v>3</v>
      </c>
      <c r="J700" s="15">
        <f ca="1">RAND()</f>
        <v>0.3066892798524814</v>
      </c>
      <c r="K700" s="31">
        <f t="shared" si="30"/>
        <v>750</v>
      </c>
      <c r="L700" s="31">
        <f t="shared" ca="1" si="31"/>
        <v>520</v>
      </c>
      <c r="M700" s="36">
        <f t="shared" ca="1" si="32"/>
        <v>-230</v>
      </c>
    </row>
    <row r="701" spans="2:13">
      <c r="B701" s="16" t="s">
        <v>1457</v>
      </c>
      <c r="C701" s="16" t="s">
        <v>1666</v>
      </c>
      <c r="D701" s="17">
        <v>44770</v>
      </c>
      <c r="E701" s="16" t="s">
        <v>1684</v>
      </c>
      <c r="F701" s="16" t="s">
        <v>1680</v>
      </c>
      <c r="G701" s="32">
        <v>130</v>
      </c>
      <c r="H701" s="16" t="s">
        <v>21</v>
      </c>
      <c r="I701" s="18">
        <v>5</v>
      </c>
      <c r="J701" s="19">
        <f ca="1">RAND()</f>
        <v>0.65296365317792049</v>
      </c>
      <c r="K701" s="32">
        <f t="shared" si="30"/>
        <v>650</v>
      </c>
      <c r="L701" s="32">
        <f t="shared" ca="1" si="31"/>
        <v>226</v>
      </c>
      <c r="M701" s="37">
        <f t="shared" ca="1" si="32"/>
        <v>-424</v>
      </c>
    </row>
    <row r="702" spans="2:13">
      <c r="B702" s="12" t="s">
        <v>1459</v>
      </c>
      <c r="C702" s="12" t="s">
        <v>1660</v>
      </c>
      <c r="D702" s="13">
        <v>44755</v>
      </c>
      <c r="E702" s="12" t="s">
        <v>1679</v>
      </c>
      <c r="F702" s="12" t="s">
        <v>1682</v>
      </c>
      <c r="G702" s="31">
        <v>72</v>
      </c>
      <c r="H702" s="12" t="s">
        <v>26</v>
      </c>
      <c r="I702" s="14">
        <v>9</v>
      </c>
      <c r="J702" s="15">
        <f ca="1">RAND()</f>
        <v>0.64649738944693547</v>
      </c>
      <c r="K702" s="31">
        <f t="shared" si="30"/>
        <v>648</v>
      </c>
      <c r="L702" s="31">
        <f t="shared" ca="1" si="31"/>
        <v>229</v>
      </c>
      <c r="M702" s="36">
        <f t="shared" ca="1" si="32"/>
        <v>-419</v>
      </c>
    </row>
    <row r="703" spans="2:13">
      <c r="B703" s="16" t="s">
        <v>1461</v>
      </c>
      <c r="C703" s="16" t="s">
        <v>1662</v>
      </c>
      <c r="D703" s="17">
        <v>44775</v>
      </c>
      <c r="E703" s="16" t="s">
        <v>1681</v>
      </c>
      <c r="F703" s="16" t="s">
        <v>1680</v>
      </c>
      <c r="G703" s="32">
        <v>65</v>
      </c>
      <c r="H703" s="16" t="s">
        <v>32</v>
      </c>
      <c r="I703" s="18">
        <v>7</v>
      </c>
      <c r="J703" s="19">
        <f ca="1">RAND()</f>
        <v>0.53190804913397449</v>
      </c>
      <c r="K703" s="32">
        <f t="shared" si="30"/>
        <v>455</v>
      </c>
      <c r="L703" s="32">
        <f t="shared" ca="1" si="31"/>
        <v>213</v>
      </c>
      <c r="M703" s="37">
        <f t="shared" ca="1" si="32"/>
        <v>-242</v>
      </c>
    </row>
    <row r="704" spans="2:13">
      <c r="B704" s="12" t="s">
        <v>1463</v>
      </c>
      <c r="C704" s="12" t="s">
        <v>1664</v>
      </c>
      <c r="D704" s="13">
        <v>44797</v>
      </c>
      <c r="E704" s="12" t="s">
        <v>1683</v>
      </c>
      <c r="F704" s="12" t="s">
        <v>1682</v>
      </c>
      <c r="G704" s="31">
        <v>250</v>
      </c>
      <c r="H704" s="12" t="s">
        <v>21</v>
      </c>
      <c r="I704" s="14">
        <v>2</v>
      </c>
      <c r="J704" s="15">
        <f ca="1">RAND()</f>
        <v>0.62272483681979829</v>
      </c>
      <c r="K704" s="31">
        <f t="shared" si="30"/>
        <v>500</v>
      </c>
      <c r="L704" s="31">
        <f t="shared" ca="1" si="31"/>
        <v>189</v>
      </c>
      <c r="M704" s="36">
        <f t="shared" ca="1" si="32"/>
        <v>-311</v>
      </c>
    </row>
    <row r="705" spans="2:13">
      <c r="B705" s="16" t="s">
        <v>1465</v>
      </c>
      <c r="C705" s="16" t="s">
        <v>1666</v>
      </c>
      <c r="D705" s="17">
        <v>44802</v>
      </c>
      <c r="E705" s="16" t="s">
        <v>1684</v>
      </c>
      <c r="F705" s="16" t="s">
        <v>1680</v>
      </c>
      <c r="G705" s="32">
        <v>130</v>
      </c>
      <c r="H705" s="16" t="s">
        <v>26</v>
      </c>
      <c r="I705" s="18">
        <v>7</v>
      </c>
      <c r="J705" s="19">
        <f ca="1">RAND()</f>
        <v>0.6865897125374526</v>
      </c>
      <c r="K705" s="32">
        <f t="shared" si="30"/>
        <v>910</v>
      </c>
      <c r="L705" s="32">
        <f t="shared" ca="1" si="31"/>
        <v>285</v>
      </c>
      <c r="M705" s="37">
        <f t="shared" ca="1" si="32"/>
        <v>-625</v>
      </c>
    </row>
    <row r="706" spans="2:13">
      <c r="B706" s="12" t="s">
        <v>1467</v>
      </c>
      <c r="C706" s="12" t="s">
        <v>1668</v>
      </c>
      <c r="D706" s="13">
        <v>44764</v>
      </c>
      <c r="E706" s="12" t="s">
        <v>1685</v>
      </c>
      <c r="F706" s="12" t="s">
        <v>1680</v>
      </c>
      <c r="G706" s="31">
        <v>60</v>
      </c>
      <c r="H706" s="12" t="s">
        <v>32</v>
      </c>
      <c r="I706" s="14">
        <v>8</v>
      </c>
      <c r="J706" s="15">
        <f ca="1">RAND()</f>
        <v>1.870959011221407E-2</v>
      </c>
      <c r="K706" s="31">
        <f t="shared" si="30"/>
        <v>480</v>
      </c>
      <c r="L706" s="31">
        <f t="shared" ca="1" si="31"/>
        <v>471</v>
      </c>
      <c r="M706" s="36">
        <f t="shared" ca="1" si="32"/>
        <v>-9</v>
      </c>
    </row>
    <row r="707" spans="2:13">
      <c r="B707" s="16" t="s">
        <v>1469</v>
      </c>
      <c r="C707" s="16" t="s">
        <v>1669</v>
      </c>
      <c r="D707" s="17">
        <v>44780</v>
      </c>
      <c r="E707" s="16" t="s">
        <v>1686</v>
      </c>
      <c r="F707" s="16" t="s">
        <v>1682</v>
      </c>
      <c r="G707" s="32">
        <v>95</v>
      </c>
      <c r="H707" s="16" t="s">
        <v>21</v>
      </c>
      <c r="I707" s="18">
        <v>2</v>
      </c>
      <c r="J707" s="19">
        <f ca="1">RAND()</f>
        <v>0.93414164146751288</v>
      </c>
      <c r="K707" s="32">
        <f t="shared" si="30"/>
        <v>190</v>
      </c>
      <c r="L707" s="32">
        <f t="shared" ca="1" si="31"/>
        <v>13</v>
      </c>
      <c r="M707" s="37">
        <f t="shared" ca="1" si="32"/>
        <v>-177</v>
      </c>
    </row>
    <row r="708" spans="2:13">
      <c r="B708" s="12" t="s">
        <v>1471</v>
      </c>
      <c r="C708" s="12" t="s">
        <v>1660</v>
      </c>
      <c r="D708" s="13">
        <v>44799</v>
      </c>
      <c r="E708" s="12" t="s">
        <v>1679</v>
      </c>
      <c r="F708" s="12" t="s">
        <v>1682</v>
      </c>
      <c r="G708" s="31">
        <v>72</v>
      </c>
      <c r="H708" s="12" t="s">
        <v>26</v>
      </c>
      <c r="I708" s="14">
        <v>5</v>
      </c>
      <c r="J708" s="15">
        <f ca="1">RAND()</f>
        <v>0.93697107749554742</v>
      </c>
      <c r="K708" s="31">
        <f t="shared" si="30"/>
        <v>360</v>
      </c>
      <c r="L708" s="31">
        <f t="shared" ca="1" si="31"/>
        <v>23</v>
      </c>
      <c r="M708" s="36">
        <f t="shared" ca="1" si="32"/>
        <v>-337</v>
      </c>
    </row>
    <row r="709" spans="2:13">
      <c r="B709" s="16" t="s">
        <v>1473</v>
      </c>
      <c r="C709" s="16" t="s">
        <v>1662</v>
      </c>
      <c r="D709" s="17">
        <v>44761</v>
      </c>
      <c r="E709" s="16" t="s">
        <v>1681</v>
      </c>
      <c r="F709" s="16" t="s">
        <v>1682</v>
      </c>
      <c r="G709" s="32">
        <v>65</v>
      </c>
      <c r="H709" s="16" t="s">
        <v>32</v>
      </c>
      <c r="I709" s="18">
        <v>13</v>
      </c>
      <c r="J709" s="19">
        <f ca="1">RAND()</f>
        <v>0.15496156292359131</v>
      </c>
      <c r="K709" s="32">
        <f t="shared" si="30"/>
        <v>845</v>
      </c>
      <c r="L709" s="32">
        <f t="shared" ca="1" si="31"/>
        <v>714</v>
      </c>
      <c r="M709" s="37">
        <f t="shared" ca="1" si="32"/>
        <v>-131</v>
      </c>
    </row>
    <row r="710" spans="2:13">
      <c r="B710" s="12" t="s">
        <v>1475</v>
      </c>
      <c r="C710" s="12" t="s">
        <v>1664</v>
      </c>
      <c r="D710" s="13">
        <v>44782</v>
      </c>
      <c r="E710" s="12" t="s">
        <v>1683</v>
      </c>
      <c r="F710" s="12" t="s">
        <v>1680</v>
      </c>
      <c r="G710" s="31">
        <v>250</v>
      </c>
      <c r="H710" s="12" t="s">
        <v>21</v>
      </c>
      <c r="I710" s="14">
        <v>3</v>
      </c>
      <c r="J710" s="15">
        <f ca="1">RAND()</f>
        <v>0.65352826377883988</v>
      </c>
      <c r="K710" s="31">
        <f t="shared" ref="K710:K773" si="33">PRODUCT(I710,G710)</f>
        <v>750</v>
      </c>
      <c r="L710" s="31">
        <f t="shared" ref="L710:L773" ca="1" si="34">ROUND(K710*(1-J710),0)</f>
        <v>260</v>
      </c>
      <c r="M710" s="36">
        <f t="shared" ca="1" si="32"/>
        <v>-490</v>
      </c>
    </row>
    <row r="711" spans="2:13">
      <c r="B711" s="16" t="s">
        <v>1477</v>
      </c>
      <c r="C711" s="16" t="s">
        <v>1666</v>
      </c>
      <c r="D711" s="17">
        <v>44806</v>
      </c>
      <c r="E711" s="16" t="s">
        <v>1684</v>
      </c>
      <c r="F711" s="16" t="s">
        <v>1680</v>
      </c>
      <c r="G711" s="32">
        <v>130</v>
      </c>
      <c r="H711" s="16" t="s">
        <v>26</v>
      </c>
      <c r="I711" s="18">
        <v>2</v>
      </c>
      <c r="J711" s="19">
        <f ca="1">RAND()</f>
        <v>9.0689432911785217E-2</v>
      </c>
      <c r="K711" s="32">
        <f t="shared" si="33"/>
        <v>260</v>
      </c>
      <c r="L711" s="32">
        <f t="shared" ca="1" si="34"/>
        <v>236</v>
      </c>
      <c r="M711" s="37">
        <f t="shared" ref="M711:M774" ca="1" si="35">ROUND(L711-K711,0)</f>
        <v>-24</v>
      </c>
    </row>
    <row r="712" spans="2:13">
      <c r="B712" s="12" t="s">
        <v>1479</v>
      </c>
      <c r="C712" s="12" t="s">
        <v>1660</v>
      </c>
      <c r="D712" s="13">
        <v>44798</v>
      </c>
      <c r="E712" s="12" t="s">
        <v>1679</v>
      </c>
      <c r="F712" s="12" t="s">
        <v>1680</v>
      </c>
      <c r="G712" s="31">
        <v>72</v>
      </c>
      <c r="H712" s="12" t="s">
        <v>32</v>
      </c>
      <c r="I712" s="14">
        <v>5</v>
      </c>
      <c r="J712" s="15">
        <f ca="1">RAND()</f>
        <v>0.26065670540141439</v>
      </c>
      <c r="K712" s="31">
        <f t="shared" si="33"/>
        <v>360</v>
      </c>
      <c r="L712" s="31">
        <f t="shared" ca="1" si="34"/>
        <v>266</v>
      </c>
      <c r="M712" s="36">
        <f t="shared" ca="1" si="35"/>
        <v>-94</v>
      </c>
    </row>
    <row r="713" spans="2:13">
      <c r="B713" s="16" t="s">
        <v>1481</v>
      </c>
      <c r="C713" s="16" t="s">
        <v>1662</v>
      </c>
      <c r="D713" s="17">
        <v>44758</v>
      </c>
      <c r="E713" s="16" t="s">
        <v>1681</v>
      </c>
      <c r="F713" s="16" t="s">
        <v>1680</v>
      </c>
      <c r="G713" s="32">
        <v>65</v>
      </c>
      <c r="H713" s="16" t="s">
        <v>21</v>
      </c>
      <c r="I713" s="18">
        <v>6</v>
      </c>
      <c r="J713" s="19">
        <f ca="1">RAND()</f>
        <v>0.71943226154071793</v>
      </c>
      <c r="K713" s="32">
        <f t="shared" si="33"/>
        <v>390</v>
      </c>
      <c r="L713" s="32">
        <f t="shared" ca="1" si="34"/>
        <v>109</v>
      </c>
      <c r="M713" s="37">
        <f t="shared" ca="1" si="35"/>
        <v>-281</v>
      </c>
    </row>
    <row r="714" spans="2:13">
      <c r="B714" s="12" t="s">
        <v>1483</v>
      </c>
      <c r="C714" s="12" t="s">
        <v>1664</v>
      </c>
      <c r="D714" s="13">
        <v>44785</v>
      </c>
      <c r="E714" s="12" t="s">
        <v>1683</v>
      </c>
      <c r="F714" s="12" t="s">
        <v>1680</v>
      </c>
      <c r="G714" s="31">
        <v>250</v>
      </c>
      <c r="H714" s="12" t="s">
        <v>26</v>
      </c>
      <c r="I714" s="14">
        <v>1</v>
      </c>
      <c r="J714" s="15">
        <f ca="1">RAND()</f>
        <v>0.33975964623258259</v>
      </c>
      <c r="K714" s="31">
        <f t="shared" si="33"/>
        <v>250</v>
      </c>
      <c r="L714" s="31">
        <f t="shared" ca="1" si="34"/>
        <v>165</v>
      </c>
      <c r="M714" s="36">
        <f t="shared" ca="1" si="35"/>
        <v>-85</v>
      </c>
    </row>
    <row r="715" spans="2:13">
      <c r="B715" s="16" t="s">
        <v>1485</v>
      </c>
      <c r="C715" s="16" t="s">
        <v>1666</v>
      </c>
      <c r="D715" s="17">
        <v>44761</v>
      </c>
      <c r="E715" s="16" t="s">
        <v>1684</v>
      </c>
      <c r="F715" s="16" t="s">
        <v>1680</v>
      </c>
      <c r="G715" s="32">
        <v>130</v>
      </c>
      <c r="H715" s="16" t="s">
        <v>32</v>
      </c>
      <c r="I715" s="18">
        <v>4</v>
      </c>
      <c r="J715" s="19">
        <f ca="1">RAND()</f>
        <v>0.96330217729441703</v>
      </c>
      <c r="K715" s="32">
        <f t="shared" si="33"/>
        <v>520</v>
      </c>
      <c r="L715" s="32">
        <f t="shared" ca="1" si="34"/>
        <v>19</v>
      </c>
      <c r="M715" s="37">
        <f t="shared" ca="1" si="35"/>
        <v>-501</v>
      </c>
    </row>
    <row r="716" spans="2:13">
      <c r="B716" s="12" t="s">
        <v>1487</v>
      </c>
      <c r="C716" s="12" t="s">
        <v>1668</v>
      </c>
      <c r="D716" s="13">
        <v>44800</v>
      </c>
      <c r="E716" s="12" t="s">
        <v>1685</v>
      </c>
      <c r="F716" s="12" t="s">
        <v>1680</v>
      </c>
      <c r="G716" s="31">
        <v>60</v>
      </c>
      <c r="H716" s="12" t="s">
        <v>21</v>
      </c>
      <c r="I716" s="14">
        <v>7</v>
      </c>
      <c r="J716" s="15">
        <f ca="1">RAND()</f>
        <v>0.90197741705381085</v>
      </c>
      <c r="K716" s="31">
        <f t="shared" si="33"/>
        <v>420</v>
      </c>
      <c r="L716" s="31">
        <f t="shared" ca="1" si="34"/>
        <v>41</v>
      </c>
      <c r="M716" s="36">
        <f t="shared" ca="1" si="35"/>
        <v>-379</v>
      </c>
    </row>
    <row r="717" spans="2:13">
      <c r="B717" s="16" t="s">
        <v>1489</v>
      </c>
      <c r="C717" s="16" t="s">
        <v>1660</v>
      </c>
      <c r="D717" s="17">
        <v>44807</v>
      </c>
      <c r="E717" s="16" t="s">
        <v>1679</v>
      </c>
      <c r="F717" s="16" t="s">
        <v>1680</v>
      </c>
      <c r="G717" s="32">
        <v>72</v>
      </c>
      <c r="H717" s="16" t="s">
        <v>26</v>
      </c>
      <c r="I717" s="18">
        <v>6</v>
      </c>
      <c r="J717" s="19">
        <f ca="1">RAND()</f>
        <v>0.19183136543952151</v>
      </c>
      <c r="K717" s="32">
        <f t="shared" si="33"/>
        <v>432</v>
      </c>
      <c r="L717" s="32">
        <f t="shared" ca="1" si="34"/>
        <v>349</v>
      </c>
      <c r="M717" s="37">
        <f t="shared" ca="1" si="35"/>
        <v>-83</v>
      </c>
    </row>
    <row r="718" spans="2:13">
      <c r="B718" s="12" t="s">
        <v>1491</v>
      </c>
      <c r="C718" s="12" t="s">
        <v>1662</v>
      </c>
      <c r="D718" s="13">
        <v>44799</v>
      </c>
      <c r="E718" s="12" t="s">
        <v>1681</v>
      </c>
      <c r="F718" s="12" t="s">
        <v>1680</v>
      </c>
      <c r="G718" s="31">
        <v>65</v>
      </c>
      <c r="H718" s="12" t="s">
        <v>32</v>
      </c>
      <c r="I718" s="14">
        <v>11</v>
      </c>
      <c r="J718" s="15">
        <f ca="1">RAND()</f>
        <v>0.22050007607176736</v>
      </c>
      <c r="K718" s="31">
        <f t="shared" si="33"/>
        <v>715</v>
      </c>
      <c r="L718" s="31">
        <f t="shared" ca="1" si="34"/>
        <v>557</v>
      </c>
      <c r="M718" s="36">
        <f t="shared" ca="1" si="35"/>
        <v>-158</v>
      </c>
    </row>
    <row r="719" spans="2:13">
      <c r="B719" s="16" t="s">
        <v>1493</v>
      </c>
      <c r="C719" s="16" t="s">
        <v>1664</v>
      </c>
      <c r="D719" s="17">
        <v>44759</v>
      </c>
      <c r="E719" s="16" t="s">
        <v>1683</v>
      </c>
      <c r="F719" s="16" t="s">
        <v>1682</v>
      </c>
      <c r="G719" s="32">
        <v>250</v>
      </c>
      <c r="H719" s="16" t="s">
        <v>21</v>
      </c>
      <c r="I719" s="18">
        <v>1</v>
      </c>
      <c r="J719" s="19">
        <f ca="1">RAND()</f>
        <v>0.91744057404442292</v>
      </c>
      <c r="K719" s="32">
        <f t="shared" si="33"/>
        <v>250</v>
      </c>
      <c r="L719" s="32">
        <f t="shared" ca="1" si="34"/>
        <v>21</v>
      </c>
      <c r="M719" s="37">
        <f t="shared" ca="1" si="35"/>
        <v>-229</v>
      </c>
    </row>
    <row r="720" spans="2:13">
      <c r="B720" s="12" t="s">
        <v>1495</v>
      </c>
      <c r="C720" s="12" t="s">
        <v>1666</v>
      </c>
      <c r="D720" s="13">
        <v>44763</v>
      </c>
      <c r="E720" s="12" t="s">
        <v>1684</v>
      </c>
      <c r="F720" s="12" t="s">
        <v>1680</v>
      </c>
      <c r="G720" s="31">
        <v>130</v>
      </c>
      <c r="H720" s="12" t="s">
        <v>26</v>
      </c>
      <c r="I720" s="14">
        <v>2</v>
      </c>
      <c r="J720" s="15">
        <f ca="1">RAND()</f>
        <v>0.95633146137404546</v>
      </c>
      <c r="K720" s="31">
        <f t="shared" si="33"/>
        <v>260</v>
      </c>
      <c r="L720" s="31">
        <f t="shared" ca="1" si="34"/>
        <v>11</v>
      </c>
      <c r="M720" s="36">
        <f t="shared" ca="1" si="35"/>
        <v>-249</v>
      </c>
    </row>
    <row r="721" spans="2:13">
      <c r="B721" s="16" t="s">
        <v>1497</v>
      </c>
      <c r="C721" s="16" t="s">
        <v>1660</v>
      </c>
      <c r="D721" s="17">
        <v>44776</v>
      </c>
      <c r="E721" s="16" t="s">
        <v>1679</v>
      </c>
      <c r="F721" s="16" t="s">
        <v>1680</v>
      </c>
      <c r="G721" s="32">
        <v>72</v>
      </c>
      <c r="H721" s="16" t="s">
        <v>32</v>
      </c>
      <c r="I721" s="18">
        <v>12</v>
      </c>
      <c r="J721" s="19">
        <f ca="1">RAND()</f>
        <v>0.74455063840112334</v>
      </c>
      <c r="K721" s="32">
        <f t="shared" si="33"/>
        <v>864</v>
      </c>
      <c r="L721" s="32">
        <f t="shared" ca="1" si="34"/>
        <v>221</v>
      </c>
      <c r="M721" s="37">
        <f t="shared" ca="1" si="35"/>
        <v>-643</v>
      </c>
    </row>
    <row r="722" spans="2:13">
      <c r="B722" s="12" t="s">
        <v>1499</v>
      </c>
      <c r="C722" s="12" t="s">
        <v>1662</v>
      </c>
      <c r="D722" s="13">
        <v>44763</v>
      </c>
      <c r="E722" s="12" t="s">
        <v>1681</v>
      </c>
      <c r="F722" s="12" t="s">
        <v>1680</v>
      </c>
      <c r="G722" s="31">
        <v>65</v>
      </c>
      <c r="H722" s="12" t="s">
        <v>21</v>
      </c>
      <c r="I722" s="14">
        <v>9</v>
      </c>
      <c r="J722" s="15">
        <f ca="1">RAND()</f>
        <v>1.0982462857903053E-2</v>
      </c>
      <c r="K722" s="31">
        <f t="shared" si="33"/>
        <v>585</v>
      </c>
      <c r="L722" s="31">
        <f t="shared" ca="1" si="34"/>
        <v>579</v>
      </c>
      <c r="M722" s="36">
        <f t="shared" ca="1" si="35"/>
        <v>-6</v>
      </c>
    </row>
    <row r="723" spans="2:13">
      <c r="B723" s="16" t="s">
        <v>1501</v>
      </c>
      <c r="C723" s="16" t="s">
        <v>1664</v>
      </c>
      <c r="D723" s="17">
        <v>44803</v>
      </c>
      <c r="E723" s="16" t="s">
        <v>1683</v>
      </c>
      <c r="F723" s="16" t="s">
        <v>1680</v>
      </c>
      <c r="G723" s="32">
        <v>250</v>
      </c>
      <c r="H723" s="16" t="s">
        <v>26</v>
      </c>
      <c r="I723" s="18">
        <v>2</v>
      </c>
      <c r="J723" s="19">
        <f ca="1">RAND()</f>
        <v>0.40149977444734686</v>
      </c>
      <c r="K723" s="32">
        <f t="shared" si="33"/>
        <v>500</v>
      </c>
      <c r="L723" s="32">
        <f t="shared" ca="1" si="34"/>
        <v>299</v>
      </c>
      <c r="M723" s="37">
        <f t="shared" ca="1" si="35"/>
        <v>-201</v>
      </c>
    </row>
    <row r="724" spans="2:13">
      <c r="B724" s="12" t="s">
        <v>1503</v>
      </c>
      <c r="C724" s="12" t="s">
        <v>1666</v>
      </c>
      <c r="D724" s="13">
        <v>44806</v>
      </c>
      <c r="E724" s="12" t="s">
        <v>1684</v>
      </c>
      <c r="F724" s="12" t="s">
        <v>1680</v>
      </c>
      <c r="G724" s="31">
        <v>130</v>
      </c>
      <c r="H724" s="12" t="s">
        <v>32</v>
      </c>
      <c r="I724" s="14">
        <v>2</v>
      </c>
      <c r="J724" s="15">
        <f ca="1">RAND()</f>
        <v>0.81792616375215565</v>
      </c>
      <c r="K724" s="31">
        <f t="shared" si="33"/>
        <v>260</v>
      </c>
      <c r="L724" s="31">
        <f t="shared" ca="1" si="34"/>
        <v>47</v>
      </c>
      <c r="M724" s="36">
        <f t="shared" ca="1" si="35"/>
        <v>-213</v>
      </c>
    </row>
    <row r="725" spans="2:13">
      <c r="B725" s="16" t="s">
        <v>1505</v>
      </c>
      <c r="C725" s="16" t="s">
        <v>1668</v>
      </c>
      <c r="D725" s="17">
        <v>44774</v>
      </c>
      <c r="E725" s="16" t="s">
        <v>1685</v>
      </c>
      <c r="F725" s="16" t="s">
        <v>1682</v>
      </c>
      <c r="G725" s="32">
        <v>60</v>
      </c>
      <c r="H725" s="16" t="s">
        <v>21</v>
      </c>
      <c r="I725" s="18">
        <v>12</v>
      </c>
      <c r="J725" s="19">
        <f ca="1">RAND()</f>
        <v>2.515718134727507E-2</v>
      </c>
      <c r="K725" s="32">
        <f t="shared" si="33"/>
        <v>720</v>
      </c>
      <c r="L725" s="32">
        <f t="shared" ca="1" si="34"/>
        <v>702</v>
      </c>
      <c r="M725" s="37">
        <f t="shared" ca="1" si="35"/>
        <v>-18</v>
      </c>
    </row>
    <row r="726" spans="2:13">
      <c r="B726" s="12" t="s">
        <v>1507</v>
      </c>
      <c r="C726" s="12" t="s">
        <v>1669</v>
      </c>
      <c r="D726" s="13">
        <v>44769</v>
      </c>
      <c r="E726" s="12" t="s">
        <v>1686</v>
      </c>
      <c r="F726" s="12" t="s">
        <v>1680</v>
      </c>
      <c r="G726" s="31">
        <v>95</v>
      </c>
      <c r="H726" s="12" t="s">
        <v>26</v>
      </c>
      <c r="I726" s="14">
        <v>5</v>
      </c>
      <c r="J726" s="15">
        <f ca="1">RAND()</f>
        <v>1.9552556560982648E-2</v>
      </c>
      <c r="K726" s="31">
        <f t="shared" si="33"/>
        <v>475</v>
      </c>
      <c r="L726" s="31">
        <f t="shared" ca="1" si="34"/>
        <v>466</v>
      </c>
      <c r="M726" s="36">
        <f t="shared" ca="1" si="35"/>
        <v>-9</v>
      </c>
    </row>
    <row r="727" spans="2:13">
      <c r="B727" s="16" t="s">
        <v>1509</v>
      </c>
      <c r="C727" s="16" t="s">
        <v>1660</v>
      </c>
      <c r="D727" s="17">
        <v>44793</v>
      </c>
      <c r="E727" s="16" t="s">
        <v>1679</v>
      </c>
      <c r="F727" s="16" t="s">
        <v>1680</v>
      </c>
      <c r="G727" s="32">
        <v>72</v>
      </c>
      <c r="H727" s="16" t="s">
        <v>32</v>
      </c>
      <c r="I727" s="18">
        <v>8</v>
      </c>
      <c r="J727" s="19">
        <f ca="1">RAND()</f>
        <v>0.25465074540344323</v>
      </c>
      <c r="K727" s="32">
        <f t="shared" si="33"/>
        <v>576</v>
      </c>
      <c r="L727" s="32">
        <f t="shared" ca="1" si="34"/>
        <v>429</v>
      </c>
      <c r="M727" s="37">
        <f t="shared" ca="1" si="35"/>
        <v>-147</v>
      </c>
    </row>
    <row r="728" spans="2:13">
      <c r="B728" s="12" t="s">
        <v>1511</v>
      </c>
      <c r="C728" s="12" t="s">
        <v>1662</v>
      </c>
      <c r="D728" s="13">
        <v>44768</v>
      </c>
      <c r="E728" s="12" t="s">
        <v>1681</v>
      </c>
      <c r="F728" s="12" t="s">
        <v>1680</v>
      </c>
      <c r="G728" s="31">
        <v>65</v>
      </c>
      <c r="H728" s="12" t="s">
        <v>21</v>
      </c>
      <c r="I728" s="14">
        <v>4</v>
      </c>
      <c r="J728" s="15">
        <f ca="1">RAND()</f>
        <v>0.194279540116718</v>
      </c>
      <c r="K728" s="31">
        <f t="shared" si="33"/>
        <v>260</v>
      </c>
      <c r="L728" s="31">
        <f t="shared" ca="1" si="34"/>
        <v>209</v>
      </c>
      <c r="M728" s="36">
        <f t="shared" ca="1" si="35"/>
        <v>-51</v>
      </c>
    </row>
    <row r="729" spans="2:13">
      <c r="B729" s="16" t="s">
        <v>1513</v>
      </c>
      <c r="C729" s="16" t="s">
        <v>1664</v>
      </c>
      <c r="D729" s="17">
        <v>44803</v>
      </c>
      <c r="E729" s="16" t="s">
        <v>1683</v>
      </c>
      <c r="F729" s="16" t="s">
        <v>1682</v>
      </c>
      <c r="G729" s="32">
        <v>250</v>
      </c>
      <c r="H729" s="16" t="s">
        <v>26</v>
      </c>
      <c r="I729" s="18">
        <v>2</v>
      </c>
      <c r="J729" s="19">
        <f ca="1">RAND()</f>
        <v>0.82341377922550796</v>
      </c>
      <c r="K729" s="32">
        <f t="shared" si="33"/>
        <v>500</v>
      </c>
      <c r="L729" s="32">
        <f t="shared" ca="1" si="34"/>
        <v>88</v>
      </c>
      <c r="M729" s="37">
        <f t="shared" ca="1" si="35"/>
        <v>-412</v>
      </c>
    </row>
    <row r="730" spans="2:13">
      <c r="B730" s="12" t="s">
        <v>1515</v>
      </c>
      <c r="C730" s="12" t="s">
        <v>1666</v>
      </c>
      <c r="D730" s="13">
        <v>44755</v>
      </c>
      <c r="E730" s="12" t="s">
        <v>1684</v>
      </c>
      <c r="F730" s="12" t="s">
        <v>1682</v>
      </c>
      <c r="G730" s="31">
        <v>130</v>
      </c>
      <c r="H730" s="12" t="s">
        <v>32</v>
      </c>
      <c r="I730" s="14">
        <v>4</v>
      </c>
      <c r="J730" s="15">
        <f ca="1">RAND()</f>
        <v>0.10531083443479283</v>
      </c>
      <c r="K730" s="31">
        <f t="shared" si="33"/>
        <v>520</v>
      </c>
      <c r="L730" s="31">
        <f t="shared" ca="1" si="34"/>
        <v>465</v>
      </c>
      <c r="M730" s="36">
        <f t="shared" ca="1" si="35"/>
        <v>-55</v>
      </c>
    </row>
    <row r="731" spans="2:13">
      <c r="B731" s="16" t="s">
        <v>1517</v>
      </c>
      <c r="C731" s="16" t="s">
        <v>1660</v>
      </c>
      <c r="D731" s="17">
        <v>44789</v>
      </c>
      <c r="E731" s="16" t="s">
        <v>1679</v>
      </c>
      <c r="F731" s="16" t="s">
        <v>1682</v>
      </c>
      <c r="G731" s="32">
        <v>72</v>
      </c>
      <c r="H731" s="16" t="s">
        <v>21</v>
      </c>
      <c r="I731" s="18">
        <v>5</v>
      </c>
      <c r="J731" s="19">
        <f ca="1">RAND()</f>
        <v>0.75453085178688251</v>
      </c>
      <c r="K731" s="32">
        <f t="shared" si="33"/>
        <v>360</v>
      </c>
      <c r="L731" s="32">
        <f t="shared" ca="1" si="34"/>
        <v>88</v>
      </c>
      <c r="M731" s="37">
        <f t="shared" ca="1" si="35"/>
        <v>-272</v>
      </c>
    </row>
    <row r="732" spans="2:13">
      <c r="B732" s="12" t="s">
        <v>1519</v>
      </c>
      <c r="C732" s="12" t="s">
        <v>1662</v>
      </c>
      <c r="D732" s="13">
        <v>44785</v>
      </c>
      <c r="E732" s="12" t="s">
        <v>1681</v>
      </c>
      <c r="F732" s="12" t="s">
        <v>1682</v>
      </c>
      <c r="G732" s="31">
        <v>65</v>
      </c>
      <c r="H732" s="12" t="s">
        <v>26</v>
      </c>
      <c r="I732" s="14">
        <v>10</v>
      </c>
      <c r="J732" s="15">
        <f ca="1">RAND()</f>
        <v>0.64445885911763556</v>
      </c>
      <c r="K732" s="31">
        <f t="shared" si="33"/>
        <v>650</v>
      </c>
      <c r="L732" s="31">
        <f t="shared" ca="1" si="34"/>
        <v>231</v>
      </c>
      <c r="M732" s="36">
        <f t="shared" ca="1" si="35"/>
        <v>-419</v>
      </c>
    </row>
    <row r="733" spans="2:13">
      <c r="B733" s="16" t="s">
        <v>1521</v>
      </c>
      <c r="C733" s="16" t="s">
        <v>1664</v>
      </c>
      <c r="D733" s="17">
        <v>44775</v>
      </c>
      <c r="E733" s="16" t="s">
        <v>1683</v>
      </c>
      <c r="F733" s="16" t="s">
        <v>1682</v>
      </c>
      <c r="G733" s="32">
        <v>250</v>
      </c>
      <c r="H733" s="16" t="s">
        <v>32</v>
      </c>
      <c r="I733" s="18">
        <v>2</v>
      </c>
      <c r="J733" s="19">
        <f ca="1">RAND()</f>
        <v>0.92330335453257184</v>
      </c>
      <c r="K733" s="32">
        <f t="shared" si="33"/>
        <v>500</v>
      </c>
      <c r="L733" s="32">
        <f t="shared" ca="1" si="34"/>
        <v>38</v>
      </c>
      <c r="M733" s="37">
        <f t="shared" ca="1" si="35"/>
        <v>-462</v>
      </c>
    </row>
    <row r="734" spans="2:13">
      <c r="B734" s="12" t="s">
        <v>1523</v>
      </c>
      <c r="C734" s="12" t="s">
        <v>1666</v>
      </c>
      <c r="D734" s="13">
        <v>44807</v>
      </c>
      <c r="E734" s="12" t="s">
        <v>1684</v>
      </c>
      <c r="F734" s="12" t="s">
        <v>1682</v>
      </c>
      <c r="G734" s="31">
        <v>130</v>
      </c>
      <c r="H734" s="12" t="s">
        <v>21</v>
      </c>
      <c r="I734" s="14">
        <v>3</v>
      </c>
      <c r="J734" s="15">
        <f ca="1">RAND()</f>
        <v>0.89797624011827748</v>
      </c>
      <c r="K734" s="31">
        <f t="shared" si="33"/>
        <v>390</v>
      </c>
      <c r="L734" s="31">
        <f t="shared" ca="1" si="34"/>
        <v>40</v>
      </c>
      <c r="M734" s="36">
        <f t="shared" ca="1" si="35"/>
        <v>-350</v>
      </c>
    </row>
    <row r="735" spans="2:13">
      <c r="B735" s="16" t="s">
        <v>1525</v>
      </c>
      <c r="C735" s="16" t="s">
        <v>1660</v>
      </c>
      <c r="D735" s="17">
        <v>44765</v>
      </c>
      <c r="E735" s="16" t="s">
        <v>1679</v>
      </c>
      <c r="F735" s="16" t="s">
        <v>1682</v>
      </c>
      <c r="G735" s="32">
        <v>72</v>
      </c>
      <c r="H735" s="16" t="s">
        <v>21</v>
      </c>
      <c r="I735" s="18">
        <v>9</v>
      </c>
      <c r="J735" s="19">
        <f ca="1">RAND()</f>
        <v>0.42396425552864225</v>
      </c>
      <c r="K735" s="32">
        <f t="shared" si="33"/>
        <v>648</v>
      </c>
      <c r="L735" s="32">
        <f t="shared" ca="1" si="34"/>
        <v>373</v>
      </c>
      <c r="M735" s="37">
        <f t="shared" ca="1" si="35"/>
        <v>-275</v>
      </c>
    </row>
    <row r="736" spans="2:13">
      <c r="B736" s="12" t="s">
        <v>1527</v>
      </c>
      <c r="C736" s="12" t="s">
        <v>1662</v>
      </c>
      <c r="D736" s="13">
        <v>44791</v>
      </c>
      <c r="E736" s="12" t="s">
        <v>1681</v>
      </c>
      <c r="F736" s="12" t="s">
        <v>1680</v>
      </c>
      <c r="G736" s="31">
        <v>65</v>
      </c>
      <c r="H736" s="12" t="s">
        <v>26</v>
      </c>
      <c r="I736" s="14">
        <v>11</v>
      </c>
      <c r="J736" s="15">
        <f ca="1">RAND()</f>
        <v>0.40920863024934062</v>
      </c>
      <c r="K736" s="31">
        <f t="shared" si="33"/>
        <v>715</v>
      </c>
      <c r="L736" s="31">
        <f t="shared" ca="1" si="34"/>
        <v>422</v>
      </c>
      <c r="M736" s="36">
        <f t="shared" ca="1" si="35"/>
        <v>-293</v>
      </c>
    </row>
    <row r="737" spans="2:13">
      <c r="B737" s="16" t="s">
        <v>1529</v>
      </c>
      <c r="C737" s="16" t="s">
        <v>1664</v>
      </c>
      <c r="D737" s="17">
        <v>44777</v>
      </c>
      <c r="E737" s="16" t="s">
        <v>1683</v>
      </c>
      <c r="F737" s="16" t="s">
        <v>1680</v>
      </c>
      <c r="G737" s="32">
        <v>250</v>
      </c>
      <c r="H737" s="16" t="s">
        <v>32</v>
      </c>
      <c r="I737" s="18">
        <v>1</v>
      </c>
      <c r="J737" s="19">
        <f ca="1">RAND()</f>
        <v>0.67546383875729454</v>
      </c>
      <c r="K737" s="32">
        <f t="shared" si="33"/>
        <v>250</v>
      </c>
      <c r="L737" s="32">
        <f t="shared" ca="1" si="34"/>
        <v>81</v>
      </c>
      <c r="M737" s="37">
        <f t="shared" ca="1" si="35"/>
        <v>-169</v>
      </c>
    </row>
    <row r="738" spans="2:13">
      <c r="B738" s="12" t="s">
        <v>1531</v>
      </c>
      <c r="C738" s="12" t="s">
        <v>1666</v>
      </c>
      <c r="D738" s="13">
        <v>44806</v>
      </c>
      <c r="E738" s="12" t="s">
        <v>1684</v>
      </c>
      <c r="F738" s="12" t="s">
        <v>1680</v>
      </c>
      <c r="G738" s="31">
        <v>130</v>
      </c>
      <c r="H738" s="12" t="s">
        <v>21</v>
      </c>
      <c r="I738" s="14">
        <v>5</v>
      </c>
      <c r="J738" s="15">
        <f ca="1">RAND()</f>
        <v>0.76577451466178748</v>
      </c>
      <c r="K738" s="31">
        <f t="shared" si="33"/>
        <v>650</v>
      </c>
      <c r="L738" s="31">
        <f t="shared" ca="1" si="34"/>
        <v>152</v>
      </c>
      <c r="M738" s="36">
        <f t="shared" ca="1" si="35"/>
        <v>-498</v>
      </c>
    </row>
    <row r="739" spans="2:13">
      <c r="B739" s="16" t="s">
        <v>1533</v>
      </c>
      <c r="C739" s="16" t="s">
        <v>1660</v>
      </c>
      <c r="D739" s="17">
        <v>44796</v>
      </c>
      <c r="E739" s="16" t="s">
        <v>1679</v>
      </c>
      <c r="F739" s="16" t="s">
        <v>1682</v>
      </c>
      <c r="G739" s="32">
        <v>72</v>
      </c>
      <c r="H739" s="16" t="s">
        <v>26</v>
      </c>
      <c r="I739" s="18">
        <v>11</v>
      </c>
      <c r="J739" s="19">
        <f ca="1">RAND()</f>
        <v>0.53406112904621483</v>
      </c>
      <c r="K739" s="32">
        <f t="shared" si="33"/>
        <v>792</v>
      </c>
      <c r="L739" s="32">
        <f t="shared" ca="1" si="34"/>
        <v>369</v>
      </c>
      <c r="M739" s="37">
        <f t="shared" ca="1" si="35"/>
        <v>-423</v>
      </c>
    </row>
    <row r="740" spans="2:13">
      <c r="B740" s="12" t="s">
        <v>1535</v>
      </c>
      <c r="C740" s="12" t="s">
        <v>1662</v>
      </c>
      <c r="D740" s="13">
        <v>44760</v>
      </c>
      <c r="E740" s="12" t="s">
        <v>1681</v>
      </c>
      <c r="F740" s="12" t="s">
        <v>1682</v>
      </c>
      <c r="G740" s="31">
        <v>65</v>
      </c>
      <c r="H740" s="12" t="s">
        <v>32</v>
      </c>
      <c r="I740" s="14">
        <v>10</v>
      </c>
      <c r="J740" s="15">
        <f ca="1">RAND()</f>
        <v>0.95922961772047921</v>
      </c>
      <c r="K740" s="31">
        <f t="shared" si="33"/>
        <v>650</v>
      </c>
      <c r="L740" s="31">
        <f t="shared" ca="1" si="34"/>
        <v>27</v>
      </c>
      <c r="M740" s="36">
        <f t="shared" ca="1" si="35"/>
        <v>-623</v>
      </c>
    </row>
    <row r="741" spans="2:13">
      <c r="B741" s="16" t="s">
        <v>1537</v>
      </c>
      <c r="C741" s="16" t="s">
        <v>1664</v>
      </c>
      <c r="D741" s="17">
        <v>44759</v>
      </c>
      <c r="E741" s="16" t="s">
        <v>1683</v>
      </c>
      <c r="F741" s="16" t="s">
        <v>1682</v>
      </c>
      <c r="G741" s="32">
        <v>250</v>
      </c>
      <c r="H741" s="16" t="s">
        <v>21</v>
      </c>
      <c r="I741" s="18">
        <v>2</v>
      </c>
      <c r="J741" s="19">
        <f ca="1">RAND()</f>
        <v>0.64351432738610581</v>
      </c>
      <c r="K741" s="32">
        <f t="shared" si="33"/>
        <v>500</v>
      </c>
      <c r="L741" s="32">
        <f t="shared" ca="1" si="34"/>
        <v>178</v>
      </c>
      <c r="M741" s="37">
        <f t="shared" ca="1" si="35"/>
        <v>-322</v>
      </c>
    </row>
    <row r="742" spans="2:13">
      <c r="B742" s="12" t="s">
        <v>1539</v>
      </c>
      <c r="C742" s="12" t="s">
        <v>1666</v>
      </c>
      <c r="D742" s="13">
        <v>44795</v>
      </c>
      <c r="E742" s="12" t="s">
        <v>1684</v>
      </c>
      <c r="F742" s="12" t="s">
        <v>1682</v>
      </c>
      <c r="G742" s="31">
        <v>130</v>
      </c>
      <c r="H742" s="12" t="s">
        <v>26</v>
      </c>
      <c r="I742" s="14">
        <v>4</v>
      </c>
      <c r="J742" s="15">
        <f ca="1">RAND()</f>
        <v>2.7375808023696324E-2</v>
      </c>
      <c r="K742" s="31">
        <f t="shared" si="33"/>
        <v>520</v>
      </c>
      <c r="L742" s="31">
        <f t="shared" ca="1" si="34"/>
        <v>506</v>
      </c>
      <c r="M742" s="36">
        <f t="shared" ca="1" si="35"/>
        <v>-14</v>
      </c>
    </row>
    <row r="743" spans="2:13">
      <c r="B743" s="16" t="s">
        <v>1541</v>
      </c>
      <c r="C743" s="16" t="s">
        <v>1668</v>
      </c>
      <c r="D743" s="17">
        <v>44808</v>
      </c>
      <c r="E743" s="16" t="s">
        <v>1685</v>
      </c>
      <c r="F743" s="16" t="s">
        <v>1682</v>
      </c>
      <c r="G743" s="32">
        <v>60</v>
      </c>
      <c r="H743" s="16" t="s">
        <v>32</v>
      </c>
      <c r="I743" s="18">
        <v>4</v>
      </c>
      <c r="J743" s="19">
        <f ca="1">RAND()</f>
        <v>0.59993182642139564</v>
      </c>
      <c r="K743" s="32">
        <f t="shared" si="33"/>
        <v>240</v>
      </c>
      <c r="L743" s="32">
        <f t="shared" ca="1" si="34"/>
        <v>96</v>
      </c>
      <c r="M743" s="37">
        <f t="shared" ca="1" si="35"/>
        <v>-144</v>
      </c>
    </row>
    <row r="744" spans="2:13">
      <c r="B744" s="12" t="s">
        <v>1543</v>
      </c>
      <c r="C744" s="12" t="s">
        <v>1660</v>
      </c>
      <c r="D744" s="13">
        <v>44756</v>
      </c>
      <c r="E744" s="12" t="s">
        <v>1679</v>
      </c>
      <c r="F744" s="12" t="s">
        <v>1682</v>
      </c>
      <c r="G744" s="31">
        <v>72</v>
      </c>
      <c r="H744" s="12" t="s">
        <v>21</v>
      </c>
      <c r="I744" s="14">
        <v>12</v>
      </c>
      <c r="J744" s="15">
        <f ca="1">RAND()</f>
        <v>0.51742306265508065</v>
      </c>
      <c r="K744" s="31">
        <f t="shared" si="33"/>
        <v>864</v>
      </c>
      <c r="L744" s="31">
        <f t="shared" ca="1" si="34"/>
        <v>417</v>
      </c>
      <c r="M744" s="36">
        <f t="shared" ca="1" si="35"/>
        <v>-447</v>
      </c>
    </row>
    <row r="745" spans="2:13">
      <c r="B745" s="16" t="s">
        <v>1545</v>
      </c>
      <c r="C745" s="16" t="s">
        <v>1662</v>
      </c>
      <c r="D745" s="17">
        <v>44801</v>
      </c>
      <c r="E745" s="16" t="s">
        <v>1681</v>
      </c>
      <c r="F745" s="16" t="s">
        <v>1682</v>
      </c>
      <c r="G745" s="32">
        <v>65</v>
      </c>
      <c r="H745" s="16" t="s">
        <v>26</v>
      </c>
      <c r="I745" s="18">
        <v>5</v>
      </c>
      <c r="J745" s="19">
        <f ca="1">RAND()</f>
        <v>0.3918745801535457</v>
      </c>
      <c r="K745" s="32">
        <f t="shared" si="33"/>
        <v>325</v>
      </c>
      <c r="L745" s="32">
        <f t="shared" ca="1" si="34"/>
        <v>198</v>
      </c>
      <c r="M745" s="37">
        <f t="shared" ca="1" si="35"/>
        <v>-127</v>
      </c>
    </row>
    <row r="746" spans="2:13">
      <c r="B746" s="12" t="s">
        <v>1547</v>
      </c>
      <c r="C746" s="12" t="s">
        <v>1664</v>
      </c>
      <c r="D746" s="13">
        <v>44806</v>
      </c>
      <c r="E746" s="12" t="s">
        <v>1683</v>
      </c>
      <c r="F746" s="12" t="s">
        <v>1680</v>
      </c>
      <c r="G746" s="31">
        <v>250</v>
      </c>
      <c r="H746" s="12" t="s">
        <v>32</v>
      </c>
      <c r="I746" s="14">
        <v>3</v>
      </c>
      <c r="J746" s="15">
        <f ca="1">RAND()</f>
        <v>0.65138980548979497</v>
      </c>
      <c r="K746" s="31">
        <f t="shared" si="33"/>
        <v>750</v>
      </c>
      <c r="L746" s="31">
        <f t="shared" ca="1" si="34"/>
        <v>261</v>
      </c>
      <c r="M746" s="36">
        <f t="shared" ca="1" si="35"/>
        <v>-489</v>
      </c>
    </row>
    <row r="747" spans="2:13">
      <c r="B747" s="16" t="s">
        <v>1549</v>
      </c>
      <c r="C747" s="16" t="s">
        <v>1666</v>
      </c>
      <c r="D747" s="17">
        <v>44794</v>
      </c>
      <c r="E747" s="16" t="s">
        <v>1684</v>
      </c>
      <c r="F747" s="16" t="s">
        <v>1680</v>
      </c>
      <c r="G747" s="32">
        <v>130</v>
      </c>
      <c r="H747" s="16" t="s">
        <v>21</v>
      </c>
      <c r="I747" s="18">
        <v>2</v>
      </c>
      <c r="J747" s="19">
        <f ca="1">RAND()</f>
        <v>0.9291105619284048</v>
      </c>
      <c r="K747" s="32">
        <f t="shared" si="33"/>
        <v>260</v>
      </c>
      <c r="L747" s="32">
        <f t="shared" ca="1" si="34"/>
        <v>18</v>
      </c>
      <c r="M747" s="37">
        <f t="shared" ca="1" si="35"/>
        <v>-242</v>
      </c>
    </row>
    <row r="748" spans="2:13">
      <c r="B748" s="12" t="s">
        <v>1551</v>
      </c>
      <c r="C748" s="12" t="s">
        <v>1660</v>
      </c>
      <c r="D748" s="13">
        <v>44800</v>
      </c>
      <c r="E748" s="12" t="s">
        <v>1679</v>
      </c>
      <c r="F748" s="12" t="s">
        <v>1680</v>
      </c>
      <c r="G748" s="31">
        <v>72</v>
      </c>
      <c r="H748" s="12" t="s">
        <v>26</v>
      </c>
      <c r="I748" s="14">
        <v>7</v>
      </c>
      <c r="J748" s="15">
        <f ca="1">RAND()</f>
        <v>0.81206521557555045</v>
      </c>
      <c r="K748" s="31">
        <f t="shared" si="33"/>
        <v>504</v>
      </c>
      <c r="L748" s="31">
        <f t="shared" ca="1" si="34"/>
        <v>95</v>
      </c>
      <c r="M748" s="36">
        <f t="shared" ca="1" si="35"/>
        <v>-409</v>
      </c>
    </row>
    <row r="749" spans="2:13">
      <c r="B749" s="16" t="s">
        <v>1553</v>
      </c>
      <c r="C749" s="16" t="s">
        <v>1662</v>
      </c>
      <c r="D749" s="17">
        <v>44789</v>
      </c>
      <c r="E749" s="16" t="s">
        <v>1681</v>
      </c>
      <c r="F749" s="16" t="s">
        <v>1682</v>
      </c>
      <c r="G749" s="32">
        <v>65</v>
      </c>
      <c r="H749" s="16" t="s">
        <v>32</v>
      </c>
      <c r="I749" s="18">
        <v>12</v>
      </c>
      <c r="J749" s="19">
        <f ca="1">RAND()</f>
        <v>0.82559235115705876</v>
      </c>
      <c r="K749" s="32">
        <f t="shared" si="33"/>
        <v>780</v>
      </c>
      <c r="L749" s="32">
        <f t="shared" ca="1" si="34"/>
        <v>136</v>
      </c>
      <c r="M749" s="37">
        <f t="shared" ca="1" si="35"/>
        <v>-644</v>
      </c>
    </row>
    <row r="750" spans="2:13">
      <c r="B750" s="12" t="s">
        <v>1555</v>
      </c>
      <c r="C750" s="12" t="s">
        <v>1664</v>
      </c>
      <c r="D750" s="13">
        <v>44802</v>
      </c>
      <c r="E750" s="12" t="s">
        <v>1683</v>
      </c>
      <c r="F750" s="12" t="s">
        <v>1682</v>
      </c>
      <c r="G750" s="31">
        <v>250</v>
      </c>
      <c r="H750" s="12" t="s">
        <v>21</v>
      </c>
      <c r="I750" s="14">
        <v>3</v>
      </c>
      <c r="J750" s="15">
        <f ca="1">RAND()</f>
        <v>0.79410674531181658</v>
      </c>
      <c r="K750" s="31">
        <f t="shared" si="33"/>
        <v>750</v>
      </c>
      <c r="L750" s="31">
        <f t="shared" ca="1" si="34"/>
        <v>154</v>
      </c>
      <c r="M750" s="36">
        <f t="shared" ca="1" si="35"/>
        <v>-596</v>
      </c>
    </row>
    <row r="751" spans="2:13">
      <c r="B751" s="16" t="s">
        <v>1557</v>
      </c>
      <c r="C751" s="16" t="s">
        <v>1666</v>
      </c>
      <c r="D751" s="17">
        <v>44793</v>
      </c>
      <c r="E751" s="16" t="s">
        <v>1684</v>
      </c>
      <c r="F751" s="16" t="s">
        <v>1682</v>
      </c>
      <c r="G751" s="32">
        <v>130</v>
      </c>
      <c r="H751" s="16" t="s">
        <v>26</v>
      </c>
      <c r="I751" s="18">
        <v>4</v>
      </c>
      <c r="J751" s="19">
        <f ca="1">RAND()</f>
        <v>0.32548930700631096</v>
      </c>
      <c r="K751" s="32">
        <f t="shared" si="33"/>
        <v>520</v>
      </c>
      <c r="L751" s="32">
        <f t="shared" ca="1" si="34"/>
        <v>351</v>
      </c>
      <c r="M751" s="37">
        <f t="shared" ca="1" si="35"/>
        <v>-169</v>
      </c>
    </row>
    <row r="752" spans="2:13">
      <c r="B752" s="12" t="s">
        <v>1559</v>
      </c>
      <c r="C752" s="12" t="s">
        <v>1668</v>
      </c>
      <c r="D752" s="13">
        <v>44793</v>
      </c>
      <c r="E752" s="12" t="s">
        <v>1685</v>
      </c>
      <c r="F752" s="12" t="s">
        <v>1682</v>
      </c>
      <c r="G752" s="31">
        <v>60</v>
      </c>
      <c r="H752" s="12" t="s">
        <v>32</v>
      </c>
      <c r="I752" s="14">
        <v>8</v>
      </c>
      <c r="J752" s="15">
        <f ca="1">RAND()</f>
        <v>0.70120904317183008</v>
      </c>
      <c r="K752" s="31">
        <f t="shared" si="33"/>
        <v>480</v>
      </c>
      <c r="L752" s="31">
        <f t="shared" ca="1" si="34"/>
        <v>143</v>
      </c>
      <c r="M752" s="36">
        <f t="shared" ca="1" si="35"/>
        <v>-337</v>
      </c>
    </row>
    <row r="753" spans="2:13">
      <c r="B753" s="16" t="s">
        <v>1561</v>
      </c>
      <c r="C753" s="16" t="s">
        <v>1669</v>
      </c>
      <c r="D753" s="17">
        <v>44785</v>
      </c>
      <c r="E753" s="16" t="s">
        <v>1686</v>
      </c>
      <c r="F753" s="16" t="s">
        <v>1682</v>
      </c>
      <c r="G753" s="32">
        <v>95</v>
      </c>
      <c r="H753" s="16" t="s">
        <v>21</v>
      </c>
      <c r="I753" s="18">
        <v>3</v>
      </c>
      <c r="J753" s="19">
        <f ca="1">RAND()</f>
        <v>0.33687439131920938</v>
      </c>
      <c r="K753" s="32">
        <f t="shared" si="33"/>
        <v>285</v>
      </c>
      <c r="L753" s="32">
        <f t="shared" ca="1" si="34"/>
        <v>189</v>
      </c>
      <c r="M753" s="37">
        <f t="shared" ca="1" si="35"/>
        <v>-96</v>
      </c>
    </row>
    <row r="754" spans="2:13">
      <c r="B754" s="12" t="s">
        <v>1563</v>
      </c>
      <c r="C754" s="12" t="s">
        <v>1660</v>
      </c>
      <c r="D754" s="13">
        <v>44778</v>
      </c>
      <c r="E754" s="12" t="s">
        <v>1679</v>
      </c>
      <c r="F754" s="12" t="s">
        <v>1682</v>
      </c>
      <c r="G754" s="31">
        <v>72</v>
      </c>
      <c r="H754" s="12" t="s">
        <v>26</v>
      </c>
      <c r="I754" s="14">
        <v>8</v>
      </c>
      <c r="J754" s="15">
        <f ca="1">RAND()</f>
        <v>0.27390199428727935</v>
      </c>
      <c r="K754" s="31">
        <f t="shared" si="33"/>
        <v>576</v>
      </c>
      <c r="L754" s="31">
        <f t="shared" ca="1" si="34"/>
        <v>418</v>
      </c>
      <c r="M754" s="36">
        <f t="shared" ca="1" si="35"/>
        <v>-158</v>
      </c>
    </row>
    <row r="755" spans="2:13">
      <c r="B755" s="16" t="s">
        <v>1565</v>
      </c>
      <c r="C755" s="16" t="s">
        <v>1662</v>
      </c>
      <c r="D755" s="17">
        <v>44764</v>
      </c>
      <c r="E755" s="16" t="s">
        <v>1681</v>
      </c>
      <c r="F755" s="16" t="s">
        <v>1682</v>
      </c>
      <c r="G755" s="32">
        <v>65</v>
      </c>
      <c r="H755" s="16" t="s">
        <v>32</v>
      </c>
      <c r="I755" s="18">
        <v>12</v>
      </c>
      <c r="J755" s="19">
        <f ca="1">RAND()</f>
        <v>0.7441081198281152</v>
      </c>
      <c r="K755" s="32">
        <f t="shared" si="33"/>
        <v>780</v>
      </c>
      <c r="L755" s="32">
        <f t="shared" ca="1" si="34"/>
        <v>200</v>
      </c>
      <c r="M755" s="37">
        <f t="shared" ca="1" si="35"/>
        <v>-580</v>
      </c>
    </row>
    <row r="756" spans="2:13">
      <c r="B756" s="12" t="s">
        <v>1567</v>
      </c>
      <c r="C756" s="12" t="s">
        <v>1664</v>
      </c>
      <c r="D756" s="13">
        <v>44769</v>
      </c>
      <c r="E756" s="12" t="s">
        <v>1683</v>
      </c>
      <c r="F756" s="12" t="s">
        <v>1680</v>
      </c>
      <c r="G756" s="31">
        <v>250</v>
      </c>
      <c r="H756" s="12" t="s">
        <v>21</v>
      </c>
      <c r="I756" s="14">
        <v>3</v>
      </c>
      <c r="J756" s="15">
        <f ca="1">RAND()</f>
        <v>0.93345476522956172</v>
      </c>
      <c r="K756" s="31">
        <f t="shared" si="33"/>
        <v>750</v>
      </c>
      <c r="L756" s="31">
        <f t="shared" ca="1" si="34"/>
        <v>50</v>
      </c>
      <c r="M756" s="36">
        <f t="shared" ca="1" si="35"/>
        <v>-700</v>
      </c>
    </row>
    <row r="757" spans="2:13">
      <c r="B757" s="16" t="s">
        <v>1569</v>
      </c>
      <c r="C757" s="16" t="s">
        <v>1666</v>
      </c>
      <c r="D757" s="17">
        <v>44794</v>
      </c>
      <c r="E757" s="16" t="s">
        <v>1684</v>
      </c>
      <c r="F757" s="16" t="s">
        <v>1680</v>
      </c>
      <c r="G757" s="32">
        <v>130</v>
      </c>
      <c r="H757" s="16" t="s">
        <v>26</v>
      </c>
      <c r="I757" s="18">
        <v>4</v>
      </c>
      <c r="J757" s="19">
        <f ca="1">RAND()</f>
        <v>0.434081159920226</v>
      </c>
      <c r="K757" s="32">
        <f t="shared" si="33"/>
        <v>520</v>
      </c>
      <c r="L757" s="32">
        <f t="shared" ca="1" si="34"/>
        <v>294</v>
      </c>
      <c r="M757" s="37">
        <f t="shared" ca="1" si="35"/>
        <v>-226</v>
      </c>
    </row>
    <row r="758" spans="2:13">
      <c r="B758" s="12" t="s">
        <v>1571</v>
      </c>
      <c r="C758" s="12" t="s">
        <v>1660</v>
      </c>
      <c r="D758" s="13">
        <v>44766</v>
      </c>
      <c r="E758" s="12" t="s">
        <v>1679</v>
      </c>
      <c r="F758" s="12" t="s">
        <v>1680</v>
      </c>
      <c r="G758" s="31">
        <v>72</v>
      </c>
      <c r="H758" s="12" t="s">
        <v>32</v>
      </c>
      <c r="I758" s="14">
        <v>11</v>
      </c>
      <c r="J758" s="15">
        <f ca="1">RAND()</f>
        <v>2.4285804420129953E-3</v>
      </c>
      <c r="K758" s="31">
        <f t="shared" si="33"/>
        <v>792</v>
      </c>
      <c r="L758" s="31">
        <f t="shared" ca="1" si="34"/>
        <v>790</v>
      </c>
      <c r="M758" s="36">
        <f t="shared" ca="1" si="35"/>
        <v>-2</v>
      </c>
    </row>
    <row r="759" spans="2:13">
      <c r="B759" s="16" t="s">
        <v>1573</v>
      </c>
      <c r="C759" s="16" t="s">
        <v>1662</v>
      </c>
      <c r="D759" s="17">
        <v>44772</v>
      </c>
      <c r="E759" s="16" t="s">
        <v>1681</v>
      </c>
      <c r="F759" s="16" t="s">
        <v>1682</v>
      </c>
      <c r="G759" s="32">
        <v>65</v>
      </c>
      <c r="H759" s="16" t="s">
        <v>21</v>
      </c>
      <c r="I759" s="18">
        <v>9</v>
      </c>
      <c r="J759" s="19">
        <f ca="1">RAND()</f>
        <v>0.64450711214210232</v>
      </c>
      <c r="K759" s="32">
        <f t="shared" si="33"/>
        <v>585</v>
      </c>
      <c r="L759" s="32">
        <f t="shared" ca="1" si="34"/>
        <v>208</v>
      </c>
      <c r="M759" s="37">
        <f t="shared" ca="1" si="35"/>
        <v>-377</v>
      </c>
    </row>
    <row r="760" spans="2:13">
      <c r="B760" s="12" t="s">
        <v>1575</v>
      </c>
      <c r="C760" s="12" t="s">
        <v>1664</v>
      </c>
      <c r="D760" s="13">
        <v>44787</v>
      </c>
      <c r="E760" s="12" t="s">
        <v>1683</v>
      </c>
      <c r="F760" s="12" t="s">
        <v>1682</v>
      </c>
      <c r="G760" s="31">
        <v>250</v>
      </c>
      <c r="H760" s="12" t="s">
        <v>26</v>
      </c>
      <c r="I760" s="14">
        <v>3</v>
      </c>
      <c r="J760" s="15">
        <f ca="1">RAND()</f>
        <v>6.5199563431602825E-2</v>
      </c>
      <c r="K760" s="31">
        <f t="shared" si="33"/>
        <v>750</v>
      </c>
      <c r="L760" s="31">
        <f t="shared" ca="1" si="34"/>
        <v>701</v>
      </c>
      <c r="M760" s="36">
        <f t="shared" ca="1" si="35"/>
        <v>-49</v>
      </c>
    </row>
    <row r="761" spans="2:13">
      <c r="B761" s="16" t="s">
        <v>1577</v>
      </c>
      <c r="C761" s="16" t="s">
        <v>1666</v>
      </c>
      <c r="D761" s="17">
        <v>44755</v>
      </c>
      <c r="E761" s="16" t="s">
        <v>1684</v>
      </c>
      <c r="F761" s="16" t="s">
        <v>1682</v>
      </c>
      <c r="G761" s="32">
        <v>130</v>
      </c>
      <c r="H761" s="16" t="s">
        <v>32</v>
      </c>
      <c r="I761" s="18">
        <v>3</v>
      </c>
      <c r="J761" s="19">
        <f ca="1">RAND()</f>
        <v>0.34323494875467442</v>
      </c>
      <c r="K761" s="32">
        <f t="shared" si="33"/>
        <v>390</v>
      </c>
      <c r="L761" s="32">
        <f t="shared" ca="1" si="34"/>
        <v>256</v>
      </c>
      <c r="M761" s="37">
        <f t="shared" ca="1" si="35"/>
        <v>-134</v>
      </c>
    </row>
    <row r="762" spans="2:13">
      <c r="B762" s="12" t="s">
        <v>1579</v>
      </c>
      <c r="C762" s="12" t="s">
        <v>1668</v>
      </c>
      <c r="D762" s="13">
        <v>44785</v>
      </c>
      <c r="E762" s="12" t="s">
        <v>1685</v>
      </c>
      <c r="F762" s="12" t="s">
        <v>1682</v>
      </c>
      <c r="G762" s="31">
        <v>60</v>
      </c>
      <c r="H762" s="12" t="s">
        <v>21</v>
      </c>
      <c r="I762" s="14">
        <v>13</v>
      </c>
      <c r="J762" s="15">
        <f ca="1">RAND()</f>
        <v>0.18066774842717637</v>
      </c>
      <c r="K762" s="31">
        <f t="shared" si="33"/>
        <v>780</v>
      </c>
      <c r="L762" s="31">
        <f t="shared" ca="1" si="34"/>
        <v>639</v>
      </c>
      <c r="M762" s="36">
        <f t="shared" ca="1" si="35"/>
        <v>-141</v>
      </c>
    </row>
    <row r="763" spans="2:13">
      <c r="B763" s="16" t="s">
        <v>1581</v>
      </c>
      <c r="C763" s="16" t="s">
        <v>1660</v>
      </c>
      <c r="D763" s="17">
        <v>44761</v>
      </c>
      <c r="E763" s="16" t="s">
        <v>1679</v>
      </c>
      <c r="F763" s="16" t="s">
        <v>1682</v>
      </c>
      <c r="G763" s="32">
        <v>72</v>
      </c>
      <c r="H763" s="16" t="s">
        <v>26</v>
      </c>
      <c r="I763" s="18">
        <v>12</v>
      </c>
      <c r="J763" s="19">
        <f ca="1">RAND()</f>
        <v>0.48889852355722985</v>
      </c>
      <c r="K763" s="32">
        <f t="shared" si="33"/>
        <v>864</v>
      </c>
      <c r="L763" s="32">
        <f t="shared" ca="1" si="34"/>
        <v>442</v>
      </c>
      <c r="M763" s="37">
        <f t="shared" ca="1" si="35"/>
        <v>-422</v>
      </c>
    </row>
    <row r="764" spans="2:13">
      <c r="B764" s="12" t="s">
        <v>1583</v>
      </c>
      <c r="C764" s="12" t="s">
        <v>1662</v>
      </c>
      <c r="D764" s="13">
        <v>44770</v>
      </c>
      <c r="E764" s="12" t="s">
        <v>1681</v>
      </c>
      <c r="F764" s="12" t="s">
        <v>1682</v>
      </c>
      <c r="G764" s="31">
        <v>65</v>
      </c>
      <c r="H764" s="12" t="s">
        <v>32</v>
      </c>
      <c r="I764" s="14">
        <v>5</v>
      </c>
      <c r="J764" s="15">
        <f ca="1">RAND()</f>
        <v>0.78788687449818418</v>
      </c>
      <c r="K764" s="31">
        <f t="shared" si="33"/>
        <v>325</v>
      </c>
      <c r="L764" s="31">
        <f t="shared" ca="1" si="34"/>
        <v>69</v>
      </c>
      <c r="M764" s="36">
        <f t="shared" ca="1" si="35"/>
        <v>-256</v>
      </c>
    </row>
    <row r="765" spans="2:13">
      <c r="B765" s="16" t="s">
        <v>1585</v>
      </c>
      <c r="C765" s="16" t="s">
        <v>1664</v>
      </c>
      <c r="D765" s="17">
        <v>44769</v>
      </c>
      <c r="E765" s="16" t="s">
        <v>1683</v>
      </c>
      <c r="F765" s="16" t="s">
        <v>1680</v>
      </c>
      <c r="G765" s="32">
        <v>250</v>
      </c>
      <c r="H765" s="16" t="s">
        <v>21</v>
      </c>
      <c r="I765" s="18">
        <v>3</v>
      </c>
      <c r="J765" s="19">
        <f ca="1">RAND()</f>
        <v>0.70669710572587652</v>
      </c>
      <c r="K765" s="32">
        <f t="shared" si="33"/>
        <v>750</v>
      </c>
      <c r="L765" s="32">
        <f t="shared" ca="1" si="34"/>
        <v>220</v>
      </c>
      <c r="M765" s="37">
        <f t="shared" ca="1" si="35"/>
        <v>-530</v>
      </c>
    </row>
    <row r="766" spans="2:13">
      <c r="B766" s="12" t="s">
        <v>1587</v>
      </c>
      <c r="C766" s="12" t="s">
        <v>1666</v>
      </c>
      <c r="D766" s="13">
        <v>44785</v>
      </c>
      <c r="E766" s="12" t="s">
        <v>1684</v>
      </c>
      <c r="F766" s="12" t="s">
        <v>1682</v>
      </c>
      <c r="G766" s="31">
        <v>130</v>
      </c>
      <c r="H766" s="12" t="s">
        <v>26</v>
      </c>
      <c r="I766" s="14">
        <v>5</v>
      </c>
      <c r="J766" s="15">
        <f ca="1">RAND()</f>
        <v>0.9555136667961095</v>
      </c>
      <c r="K766" s="31">
        <f t="shared" si="33"/>
        <v>650</v>
      </c>
      <c r="L766" s="31">
        <f t="shared" ca="1" si="34"/>
        <v>29</v>
      </c>
      <c r="M766" s="36">
        <f t="shared" ca="1" si="35"/>
        <v>-621</v>
      </c>
    </row>
    <row r="767" spans="2:13">
      <c r="B767" s="16" t="s">
        <v>1589</v>
      </c>
      <c r="C767" s="16" t="s">
        <v>1660</v>
      </c>
      <c r="D767" s="17">
        <v>44771</v>
      </c>
      <c r="E767" s="16" t="s">
        <v>1679</v>
      </c>
      <c r="F767" s="16" t="s">
        <v>1680</v>
      </c>
      <c r="G767" s="32">
        <v>72</v>
      </c>
      <c r="H767" s="16" t="s">
        <v>32</v>
      </c>
      <c r="I767" s="18">
        <v>8</v>
      </c>
      <c r="J767" s="19">
        <f ca="1">RAND()</f>
        <v>0.37289200843844839</v>
      </c>
      <c r="K767" s="32">
        <f t="shared" si="33"/>
        <v>576</v>
      </c>
      <c r="L767" s="32">
        <f t="shared" ca="1" si="34"/>
        <v>361</v>
      </c>
      <c r="M767" s="37">
        <f t="shared" ca="1" si="35"/>
        <v>-215</v>
      </c>
    </row>
    <row r="768" spans="2:13">
      <c r="B768" s="12" t="s">
        <v>1591</v>
      </c>
      <c r="C768" s="12" t="s">
        <v>1662</v>
      </c>
      <c r="D768" s="13">
        <v>44776</v>
      </c>
      <c r="E768" s="12" t="s">
        <v>1681</v>
      </c>
      <c r="F768" s="12" t="s">
        <v>1682</v>
      </c>
      <c r="G768" s="31">
        <v>65</v>
      </c>
      <c r="H768" s="12" t="s">
        <v>21</v>
      </c>
      <c r="I768" s="14">
        <v>4</v>
      </c>
      <c r="J768" s="15">
        <f ca="1">RAND()</f>
        <v>0.65273938191887759</v>
      </c>
      <c r="K768" s="31">
        <f t="shared" si="33"/>
        <v>260</v>
      </c>
      <c r="L768" s="31">
        <f t="shared" ca="1" si="34"/>
        <v>90</v>
      </c>
      <c r="M768" s="36">
        <f t="shared" ca="1" si="35"/>
        <v>-170</v>
      </c>
    </row>
    <row r="769" spans="2:13">
      <c r="B769" s="16" t="s">
        <v>1593</v>
      </c>
      <c r="C769" s="16" t="s">
        <v>1664</v>
      </c>
      <c r="D769" s="17">
        <v>44782</v>
      </c>
      <c r="E769" s="16" t="s">
        <v>1683</v>
      </c>
      <c r="F769" s="16" t="s">
        <v>1680</v>
      </c>
      <c r="G769" s="32">
        <v>250</v>
      </c>
      <c r="H769" s="16" t="s">
        <v>26</v>
      </c>
      <c r="I769" s="18">
        <v>3</v>
      </c>
      <c r="J769" s="19">
        <f ca="1">RAND()</f>
        <v>6.8639467988800718E-2</v>
      </c>
      <c r="K769" s="32">
        <f t="shared" si="33"/>
        <v>750</v>
      </c>
      <c r="L769" s="32">
        <f t="shared" ca="1" si="34"/>
        <v>699</v>
      </c>
      <c r="M769" s="37">
        <f t="shared" ca="1" si="35"/>
        <v>-51</v>
      </c>
    </row>
    <row r="770" spans="2:13">
      <c r="B770" s="12" t="s">
        <v>1595</v>
      </c>
      <c r="C770" s="12" t="s">
        <v>1666</v>
      </c>
      <c r="D770" s="13">
        <v>44765</v>
      </c>
      <c r="E770" s="12" t="s">
        <v>1684</v>
      </c>
      <c r="F770" s="12" t="s">
        <v>1682</v>
      </c>
      <c r="G770" s="31">
        <v>130</v>
      </c>
      <c r="H770" s="12" t="s">
        <v>32</v>
      </c>
      <c r="I770" s="14">
        <v>7</v>
      </c>
      <c r="J770" s="15">
        <f ca="1">RAND()</f>
        <v>0.5384424721895279</v>
      </c>
      <c r="K770" s="31">
        <f t="shared" si="33"/>
        <v>910</v>
      </c>
      <c r="L770" s="31">
        <f t="shared" ca="1" si="34"/>
        <v>420</v>
      </c>
      <c r="M770" s="36">
        <f t="shared" ca="1" si="35"/>
        <v>-490</v>
      </c>
    </row>
    <row r="771" spans="2:13">
      <c r="B771" s="16" t="s">
        <v>1597</v>
      </c>
      <c r="C771" s="16" t="s">
        <v>1668</v>
      </c>
      <c r="D771" s="17">
        <v>44778</v>
      </c>
      <c r="E771" s="16" t="s">
        <v>1685</v>
      </c>
      <c r="F771" s="16" t="s">
        <v>1680</v>
      </c>
      <c r="G771" s="32">
        <v>60</v>
      </c>
      <c r="H771" s="16" t="s">
        <v>21</v>
      </c>
      <c r="I771" s="18">
        <v>7</v>
      </c>
      <c r="J771" s="19">
        <f ca="1">RAND()</f>
        <v>0.76305452393349649</v>
      </c>
      <c r="K771" s="32">
        <f t="shared" si="33"/>
        <v>420</v>
      </c>
      <c r="L771" s="32">
        <f t="shared" ca="1" si="34"/>
        <v>100</v>
      </c>
      <c r="M771" s="37">
        <f t="shared" ca="1" si="35"/>
        <v>-320</v>
      </c>
    </row>
    <row r="772" spans="2:13">
      <c r="B772" s="12" t="s">
        <v>1599</v>
      </c>
      <c r="C772" s="12" t="s">
        <v>1669</v>
      </c>
      <c r="D772" s="13">
        <v>44774</v>
      </c>
      <c r="E772" s="12" t="s">
        <v>1686</v>
      </c>
      <c r="F772" s="12" t="s">
        <v>1682</v>
      </c>
      <c r="G772" s="31">
        <v>95</v>
      </c>
      <c r="H772" s="12" t="s">
        <v>26</v>
      </c>
      <c r="I772" s="14">
        <v>7</v>
      </c>
      <c r="J772" s="15">
        <f ca="1">RAND()</f>
        <v>0.83373130934584549</v>
      </c>
      <c r="K772" s="31">
        <f t="shared" si="33"/>
        <v>665</v>
      </c>
      <c r="L772" s="31">
        <f t="shared" ca="1" si="34"/>
        <v>111</v>
      </c>
      <c r="M772" s="36">
        <f t="shared" ca="1" si="35"/>
        <v>-554</v>
      </c>
    </row>
    <row r="773" spans="2:13">
      <c r="B773" s="16" t="s">
        <v>1601</v>
      </c>
      <c r="C773" s="16" t="s">
        <v>1660</v>
      </c>
      <c r="D773" s="17">
        <v>44803</v>
      </c>
      <c r="E773" s="16" t="s">
        <v>1679</v>
      </c>
      <c r="F773" s="16" t="s">
        <v>1680</v>
      </c>
      <c r="G773" s="32">
        <v>72</v>
      </c>
      <c r="H773" s="16" t="s">
        <v>32</v>
      </c>
      <c r="I773" s="18">
        <v>5</v>
      </c>
      <c r="J773" s="19">
        <f ca="1">RAND()</f>
        <v>0.59344457238038417</v>
      </c>
      <c r="K773" s="32">
        <f t="shared" si="33"/>
        <v>360</v>
      </c>
      <c r="L773" s="32">
        <f t="shared" ca="1" si="34"/>
        <v>146</v>
      </c>
      <c r="M773" s="37">
        <f t="shared" ca="1" si="35"/>
        <v>-214</v>
      </c>
    </row>
    <row r="774" spans="2:13">
      <c r="B774" s="12" t="s">
        <v>1603</v>
      </c>
      <c r="C774" s="12" t="s">
        <v>1662</v>
      </c>
      <c r="D774" s="13">
        <v>44782</v>
      </c>
      <c r="E774" s="12" t="s">
        <v>1681</v>
      </c>
      <c r="F774" s="12" t="s">
        <v>1682</v>
      </c>
      <c r="G774" s="31">
        <v>65</v>
      </c>
      <c r="H774" s="12" t="s">
        <v>21</v>
      </c>
      <c r="I774" s="14">
        <v>6</v>
      </c>
      <c r="J774" s="15">
        <f ca="1">RAND()</f>
        <v>0.71811633145533305</v>
      </c>
      <c r="K774" s="31">
        <f t="shared" ref="K774:K799" si="36">PRODUCT(I774,G774)</f>
        <v>390</v>
      </c>
      <c r="L774" s="31">
        <f t="shared" ref="L774:L799" ca="1" si="37">ROUND(K774*(1-J774),0)</f>
        <v>110</v>
      </c>
      <c r="M774" s="36">
        <f t="shared" ca="1" si="35"/>
        <v>-280</v>
      </c>
    </row>
    <row r="775" spans="2:13">
      <c r="B775" s="16" t="s">
        <v>1605</v>
      </c>
      <c r="C775" s="16" t="s">
        <v>1664</v>
      </c>
      <c r="D775" s="17">
        <v>44774</v>
      </c>
      <c r="E775" s="16" t="s">
        <v>1683</v>
      </c>
      <c r="F775" s="16" t="s">
        <v>1680</v>
      </c>
      <c r="G775" s="32">
        <v>250</v>
      </c>
      <c r="H775" s="16" t="s">
        <v>26</v>
      </c>
      <c r="I775" s="18">
        <v>2</v>
      </c>
      <c r="J775" s="19">
        <f ca="1">RAND()</f>
        <v>0.70925068077319198</v>
      </c>
      <c r="K775" s="32">
        <f t="shared" si="36"/>
        <v>500</v>
      </c>
      <c r="L775" s="32">
        <f t="shared" ca="1" si="37"/>
        <v>145</v>
      </c>
      <c r="M775" s="37">
        <f t="shared" ref="M775:M799" ca="1" si="38">ROUND(L775-K775,0)</f>
        <v>-355</v>
      </c>
    </row>
    <row r="776" spans="2:13">
      <c r="B776" s="12" t="s">
        <v>1607</v>
      </c>
      <c r="C776" s="12" t="s">
        <v>1666</v>
      </c>
      <c r="D776" s="13">
        <v>44790</v>
      </c>
      <c r="E776" s="12" t="s">
        <v>1684</v>
      </c>
      <c r="F776" s="12" t="s">
        <v>1682</v>
      </c>
      <c r="G776" s="31">
        <v>130</v>
      </c>
      <c r="H776" s="12" t="s">
        <v>32</v>
      </c>
      <c r="I776" s="14">
        <v>2</v>
      </c>
      <c r="J776" s="15">
        <f ca="1">RAND()</f>
        <v>0.2488621513018715</v>
      </c>
      <c r="K776" s="31">
        <f t="shared" si="36"/>
        <v>260</v>
      </c>
      <c r="L776" s="31">
        <f t="shared" ca="1" si="37"/>
        <v>195</v>
      </c>
      <c r="M776" s="36">
        <f t="shared" ca="1" si="38"/>
        <v>-65</v>
      </c>
    </row>
    <row r="777" spans="2:13">
      <c r="B777" s="16" t="s">
        <v>1609</v>
      </c>
      <c r="C777" s="16" t="s">
        <v>1660</v>
      </c>
      <c r="D777" s="17">
        <v>44790</v>
      </c>
      <c r="E777" s="16" t="s">
        <v>1679</v>
      </c>
      <c r="F777" s="16" t="s">
        <v>1680</v>
      </c>
      <c r="G777" s="32">
        <v>72</v>
      </c>
      <c r="H777" s="16" t="s">
        <v>21</v>
      </c>
      <c r="I777" s="18">
        <v>4</v>
      </c>
      <c r="J777" s="19">
        <f ca="1">RAND()</f>
        <v>0.58068318086521786</v>
      </c>
      <c r="K777" s="32">
        <f t="shared" si="36"/>
        <v>288</v>
      </c>
      <c r="L777" s="32">
        <f t="shared" ca="1" si="37"/>
        <v>121</v>
      </c>
      <c r="M777" s="37">
        <f t="shared" ca="1" si="38"/>
        <v>-167</v>
      </c>
    </row>
    <row r="778" spans="2:13">
      <c r="B778" s="12" t="s">
        <v>1611</v>
      </c>
      <c r="C778" s="12" t="s">
        <v>1662</v>
      </c>
      <c r="D778" s="13">
        <v>44757</v>
      </c>
      <c r="E778" s="12" t="s">
        <v>1681</v>
      </c>
      <c r="F778" s="12" t="s">
        <v>1682</v>
      </c>
      <c r="G778" s="31">
        <v>65</v>
      </c>
      <c r="H778" s="12" t="s">
        <v>26</v>
      </c>
      <c r="I778" s="14">
        <v>10</v>
      </c>
      <c r="J778" s="15">
        <f ca="1">RAND()</f>
        <v>4.0128179221711746E-2</v>
      </c>
      <c r="K778" s="31">
        <f t="shared" si="36"/>
        <v>650</v>
      </c>
      <c r="L778" s="31">
        <f t="shared" ca="1" si="37"/>
        <v>624</v>
      </c>
      <c r="M778" s="36">
        <f t="shared" ca="1" si="38"/>
        <v>-26</v>
      </c>
    </row>
    <row r="779" spans="2:13">
      <c r="B779" s="16" t="s">
        <v>1613</v>
      </c>
      <c r="C779" s="16" t="s">
        <v>1664</v>
      </c>
      <c r="D779" s="17">
        <v>44778</v>
      </c>
      <c r="E779" s="16" t="s">
        <v>1683</v>
      </c>
      <c r="F779" s="16" t="s">
        <v>1680</v>
      </c>
      <c r="G779" s="32">
        <v>250</v>
      </c>
      <c r="H779" s="16" t="s">
        <v>32</v>
      </c>
      <c r="I779" s="18">
        <v>1</v>
      </c>
      <c r="J779" s="19">
        <f ca="1">RAND()</f>
        <v>0.60895931418685179</v>
      </c>
      <c r="K779" s="32">
        <f t="shared" si="36"/>
        <v>250</v>
      </c>
      <c r="L779" s="32">
        <f t="shared" ca="1" si="37"/>
        <v>98</v>
      </c>
      <c r="M779" s="37">
        <f t="shared" ca="1" si="38"/>
        <v>-152</v>
      </c>
    </row>
    <row r="780" spans="2:13">
      <c r="B780" s="12" t="s">
        <v>1615</v>
      </c>
      <c r="C780" s="12" t="s">
        <v>1666</v>
      </c>
      <c r="D780" s="13">
        <v>44795</v>
      </c>
      <c r="E780" s="12" t="s">
        <v>1679</v>
      </c>
      <c r="F780" s="12" t="s">
        <v>1682</v>
      </c>
      <c r="G780" s="31">
        <v>72</v>
      </c>
      <c r="H780" s="12" t="s">
        <v>21</v>
      </c>
      <c r="I780" s="14">
        <v>12</v>
      </c>
      <c r="J780" s="15">
        <f ca="1">RAND()</f>
        <v>0.53638125304863582</v>
      </c>
      <c r="K780" s="31">
        <f t="shared" si="36"/>
        <v>864</v>
      </c>
      <c r="L780" s="31">
        <f t="shared" ca="1" si="37"/>
        <v>401</v>
      </c>
      <c r="M780" s="36">
        <f t="shared" ca="1" si="38"/>
        <v>-463</v>
      </c>
    </row>
    <row r="781" spans="2:13">
      <c r="B781" s="16" t="s">
        <v>1617</v>
      </c>
      <c r="C781" s="16" t="s">
        <v>1660</v>
      </c>
      <c r="D781" s="17">
        <v>44800</v>
      </c>
      <c r="E781" s="16" t="s">
        <v>1681</v>
      </c>
      <c r="F781" s="16" t="s">
        <v>1680</v>
      </c>
      <c r="G781" s="32">
        <v>65</v>
      </c>
      <c r="H781" s="16" t="s">
        <v>21</v>
      </c>
      <c r="I781" s="18">
        <v>11</v>
      </c>
      <c r="J781" s="19">
        <f ca="1">RAND()</f>
        <v>0.9251949111834733</v>
      </c>
      <c r="K781" s="32">
        <f t="shared" si="36"/>
        <v>715</v>
      </c>
      <c r="L781" s="32">
        <f t="shared" ca="1" si="37"/>
        <v>53</v>
      </c>
      <c r="M781" s="37">
        <f t="shared" ca="1" si="38"/>
        <v>-662</v>
      </c>
    </row>
    <row r="782" spans="2:13">
      <c r="B782" s="12" t="s">
        <v>1619</v>
      </c>
      <c r="C782" s="12" t="s">
        <v>1662</v>
      </c>
      <c r="D782" s="13">
        <v>44783</v>
      </c>
      <c r="E782" s="12" t="s">
        <v>1683</v>
      </c>
      <c r="F782" s="12" t="s">
        <v>1682</v>
      </c>
      <c r="G782" s="31">
        <v>250</v>
      </c>
      <c r="H782" s="12" t="s">
        <v>26</v>
      </c>
      <c r="I782" s="14">
        <v>2</v>
      </c>
      <c r="J782" s="15">
        <f ca="1">RAND()</f>
        <v>7.5563904997387521E-2</v>
      </c>
      <c r="K782" s="31">
        <f t="shared" si="36"/>
        <v>500</v>
      </c>
      <c r="L782" s="31">
        <f t="shared" ca="1" si="37"/>
        <v>462</v>
      </c>
      <c r="M782" s="36">
        <f t="shared" ca="1" si="38"/>
        <v>-38</v>
      </c>
    </row>
    <row r="783" spans="2:13">
      <c r="B783" s="16" t="s">
        <v>1621</v>
      </c>
      <c r="C783" s="16" t="s">
        <v>1664</v>
      </c>
      <c r="D783" s="17">
        <v>44770</v>
      </c>
      <c r="E783" s="16" t="s">
        <v>1684</v>
      </c>
      <c r="F783" s="16" t="s">
        <v>1682</v>
      </c>
      <c r="G783" s="32">
        <v>130</v>
      </c>
      <c r="H783" s="16" t="s">
        <v>32</v>
      </c>
      <c r="I783" s="18">
        <v>7</v>
      </c>
      <c r="J783" s="19">
        <f ca="1">RAND()</f>
        <v>0.87799573790624252</v>
      </c>
      <c r="K783" s="32">
        <f t="shared" si="36"/>
        <v>910</v>
      </c>
      <c r="L783" s="32">
        <f t="shared" ca="1" si="37"/>
        <v>111</v>
      </c>
      <c r="M783" s="37">
        <f t="shared" ca="1" si="38"/>
        <v>-799</v>
      </c>
    </row>
    <row r="784" spans="2:13">
      <c r="B784" s="12" t="s">
        <v>1623</v>
      </c>
      <c r="C784" s="12" t="s">
        <v>1666</v>
      </c>
      <c r="D784" s="13">
        <v>44764</v>
      </c>
      <c r="E784" s="12" t="s">
        <v>1679</v>
      </c>
      <c r="F784" s="12" t="s">
        <v>1682</v>
      </c>
      <c r="G784" s="31">
        <v>72</v>
      </c>
      <c r="H784" s="12" t="s">
        <v>21</v>
      </c>
      <c r="I784" s="14">
        <v>6</v>
      </c>
      <c r="J784" s="15">
        <f ca="1">RAND()</f>
        <v>0.44886579446979169</v>
      </c>
      <c r="K784" s="31">
        <f t="shared" si="36"/>
        <v>432</v>
      </c>
      <c r="L784" s="31">
        <f t="shared" ca="1" si="37"/>
        <v>238</v>
      </c>
      <c r="M784" s="36">
        <f t="shared" ca="1" si="38"/>
        <v>-194</v>
      </c>
    </row>
    <row r="785" spans="2:13">
      <c r="B785" s="16" t="s">
        <v>1625</v>
      </c>
      <c r="C785" s="16" t="s">
        <v>1660</v>
      </c>
      <c r="D785" s="17">
        <v>44810</v>
      </c>
      <c r="E785" s="16" t="s">
        <v>1681</v>
      </c>
      <c r="F785" s="16" t="s">
        <v>1682</v>
      </c>
      <c r="G785" s="32">
        <v>65</v>
      </c>
      <c r="H785" s="16" t="s">
        <v>26</v>
      </c>
      <c r="I785" s="18">
        <v>4</v>
      </c>
      <c r="J785" s="19">
        <f ca="1">RAND()</f>
        <v>0.50252159070154423</v>
      </c>
      <c r="K785" s="32">
        <f t="shared" si="36"/>
        <v>260</v>
      </c>
      <c r="L785" s="32">
        <f t="shared" ca="1" si="37"/>
        <v>129</v>
      </c>
      <c r="M785" s="37">
        <f t="shared" ca="1" si="38"/>
        <v>-131</v>
      </c>
    </row>
    <row r="786" spans="2:13">
      <c r="B786" s="12" t="s">
        <v>1627</v>
      </c>
      <c r="C786" s="12" t="s">
        <v>1662</v>
      </c>
      <c r="D786" s="13">
        <v>44793</v>
      </c>
      <c r="E786" s="12" t="s">
        <v>1683</v>
      </c>
      <c r="F786" s="12" t="s">
        <v>1682</v>
      </c>
      <c r="G786" s="31">
        <v>250</v>
      </c>
      <c r="H786" s="12" t="s">
        <v>32</v>
      </c>
      <c r="I786" s="14">
        <v>2</v>
      </c>
      <c r="J786" s="15">
        <f ca="1">RAND()</f>
        <v>0.99933216934675007</v>
      </c>
      <c r="K786" s="31">
        <f t="shared" si="36"/>
        <v>500</v>
      </c>
      <c r="L786" s="31">
        <f t="shared" ca="1" si="37"/>
        <v>0</v>
      </c>
      <c r="M786" s="36">
        <f t="shared" ca="1" si="38"/>
        <v>-500</v>
      </c>
    </row>
    <row r="787" spans="2:13">
      <c r="B787" s="16" t="s">
        <v>1629</v>
      </c>
      <c r="C787" s="16" t="s">
        <v>1664</v>
      </c>
      <c r="D787" s="17">
        <v>44787</v>
      </c>
      <c r="E787" s="16" t="s">
        <v>1684</v>
      </c>
      <c r="F787" s="16" t="s">
        <v>1680</v>
      </c>
      <c r="G787" s="32">
        <v>130</v>
      </c>
      <c r="H787" s="16" t="s">
        <v>21</v>
      </c>
      <c r="I787" s="18">
        <v>4</v>
      </c>
      <c r="J787" s="19">
        <f ca="1">RAND()</f>
        <v>0.19042264693685795</v>
      </c>
      <c r="K787" s="32">
        <f t="shared" si="36"/>
        <v>520</v>
      </c>
      <c r="L787" s="32">
        <f t="shared" ca="1" si="37"/>
        <v>421</v>
      </c>
      <c r="M787" s="37">
        <f t="shared" ca="1" si="38"/>
        <v>-99</v>
      </c>
    </row>
    <row r="788" spans="2:13">
      <c r="B788" s="12" t="s">
        <v>1631</v>
      </c>
      <c r="C788" s="12" t="s">
        <v>1666</v>
      </c>
      <c r="D788" s="13">
        <v>44774</v>
      </c>
      <c r="E788" s="12" t="s">
        <v>1685</v>
      </c>
      <c r="F788" s="12" t="s">
        <v>1682</v>
      </c>
      <c r="G788" s="31">
        <v>60</v>
      </c>
      <c r="H788" s="12" t="s">
        <v>26</v>
      </c>
      <c r="I788" s="14">
        <v>8</v>
      </c>
      <c r="J788" s="15">
        <f ca="1">RAND()</f>
        <v>0.40412075980238282</v>
      </c>
      <c r="K788" s="31">
        <f t="shared" si="36"/>
        <v>480</v>
      </c>
      <c r="L788" s="31">
        <f t="shared" ca="1" si="37"/>
        <v>286</v>
      </c>
      <c r="M788" s="36">
        <f t="shared" ca="1" si="38"/>
        <v>-194</v>
      </c>
    </row>
    <row r="789" spans="2:13">
      <c r="B789" s="16" t="s">
        <v>1633</v>
      </c>
      <c r="C789" s="16" t="s">
        <v>1668</v>
      </c>
      <c r="D789" s="17">
        <v>44756</v>
      </c>
      <c r="E789" s="16" t="s">
        <v>1679</v>
      </c>
      <c r="F789" s="16" t="s">
        <v>1680</v>
      </c>
      <c r="G789" s="32">
        <v>72</v>
      </c>
      <c r="H789" s="16" t="s">
        <v>32</v>
      </c>
      <c r="I789" s="18">
        <v>4</v>
      </c>
      <c r="J789" s="19">
        <f ca="1">RAND()</f>
        <v>0.11621213560253196</v>
      </c>
      <c r="K789" s="32">
        <f t="shared" si="36"/>
        <v>288</v>
      </c>
      <c r="L789" s="32">
        <f t="shared" ca="1" si="37"/>
        <v>255</v>
      </c>
      <c r="M789" s="37">
        <f t="shared" ca="1" si="38"/>
        <v>-33</v>
      </c>
    </row>
    <row r="790" spans="2:13">
      <c r="B790" s="12" t="s">
        <v>1635</v>
      </c>
      <c r="C790" s="12" t="s">
        <v>1660</v>
      </c>
      <c r="D790" s="13">
        <v>44810</v>
      </c>
      <c r="E790" s="12" t="s">
        <v>1681</v>
      </c>
      <c r="F790" s="12" t="s">
        <v>1682</v>
      </c>
      <c r="G790" s="31">
        <v>65</v>
      </c>
      <c r="H790" s="12" t="s">
        <v>21</v>
      </c>
      <c r="I790" s="14">
        <v>5</v>
      </c>
      <c r="J790" s="15">
        <f ca="1">RAND()</f>
        <v>6.9242192902519761E-2</v>
      </c>
      <c r="K790" s="31">
        <f t="shared" si="36"/>
        <v>325</v>
      </c>
      <c r="L790" s="31">
        <f t="shared" ca="1" si="37"/>
        <v>302</v>
      </c>
      <c r="M790" s="36">
        <f t="shared" ca="1" si="38"/>
        <v>-23</v>
      </c>
    </row>
    <row r="791" spans="2:13">
      <c r="B791" s="16" t="s">
        <v>1637</v>
      </c>
      <c r="C791" s="16" t="s">
        <v>1662</v>
      </c>
      <c r="D791" s="17">
        <v>44774</v>
      </c>
      <c r="E791" s="16" t="s">
        <v>1683</v>
      </c>
      <c r="F791" s="16" t="s">
        <v>1680</v>
      </c>
      <c r="G791" s="32">
        <v>250</v>
      </c>
      <c r="H791" s="16" t="s">
        <v>26</v>
      </c>
      <c r="I791" s="18">
        <v>3</v>
      </c>
      <c r="J791" s="19">
        <f ca="1">RAND()</f>
        <v>0.11211593897226357</v>
      </c>
      <c r="K791" s="32">
        <f t="shared" si="36"/>
        <v>750</v>
      </c>
      <c r="L791" s="32">
        <f t="shared" ca="1" si="37"/>
        <v>666</v>
      </c>
      <c r="M791" s="37">
        <f t="shared" ca="1" si="38"/>
        <v>-84</v>
      </c>
    </row>
    <row r="792" spans="2:13">
      <c r="B792" s="12" t="s">
        <v>1639</v>
      </c>
      <c r="C792" s="12" t="s">
        <v>1664</v>
      </c>
      <c r="D792" s="13">
        <v>44804</v>
      </c>
      <c r="E792" s="12" t="s">
        <v>1684</v>
      </c>
      <c r="F792" s="12" t="s">
        <v>1682</v>
      </c>
      <c r="G792" s="31">
        <v>130</v>
      </c>
      <c r="H792" s="12" t="s">
        <v>32</v>
      </c>
      <c r="I792" s="14">
        <v>4</v>
      </c>
      <c r="J792" s="15">
        <f ca="1">RAND()</f>
        <v>0.84232963222837709</v>
      </c>
      <c r="K792" s="31">
        <f t="shared" si="36"/>
        <v>520</v>
      </c>
      <c r="L792" s="31">
        <f t="shared" ca="1" si="37"/>
        <v>82</v>
      </c>
      <c r="M792" s="36">
        <f t="shared" ca="1" si="38"/>
        <v>-438</v>
      </c>
    </row>
    <row r="793" spans="2:13">
      <c r="B793" s="16" t="s">
        <v>1641</v>
      </c>
      <c r="C793" s="16" t="s">
        <v>1666</v>
      </c>
      <c r="D793" s="17">
        <v>44803</v>
      </c>
      <c r="E793" s="16" t="s">
        <v>1679</v>
      </c>
      <c r="F793" s="16" t="s">
        <v>1680</v>
      </c>
      <c r="G793" s="32">
        <v>72</v>
      </c>
      <c r="H793" s="16" t="s">
        <v>21</v>
      </c>
      <c r="I793" s="18">
        <v>5</v>
      </c>
      <c r="J793" s="19">
        <f ca="1">RAND()</f>
        <v>0.84410219503824413</v>
      </c>
      <c r="K793" s="32">
        <f t="shared" si="36"/>
        <v>360</v>
      </c>
      <c r="L793" s="32">
        <f t="shared" ca="1" si="37"/>
        <v>56</v>
      </c>
      <c r="M793" s="37">
        <f t="shared" ca="1" si="38"/>
        <v>-304</v>
      </c>
    </row>
    <row r="794" spans="2:13">
      <c r="B794" s="12" t="s">
        <v>1643</v>
      </c>
      <c r="C794" s="12" t="s">
        <v>1660</v>
      </c>
      <c r="D794" s="13">
        <v>44808</v>
      </c>
      <c r="E794" s="12" t="s">
        <v>1681</v>
      </c>
      <c r="F794" s="12" t="s">
        <v>1682</v>
      </c>
      <c r="G794" s="31">
        <v>65</v>
      </c>
      <c r="H794" s="12" t="s">
        <v>26</v>
      </c>
      <c r="I794" s="14">
        <v>7</v>
      </c>
      <c r="J794" s="15">
        <f ca="1">RAND()</f>
        <v>0.91276703150656702</v>
      </c>
      <c r="K794" s="31">
        <f t="shared" si="36"/>
        <v>455</v>
      </c>
      <c r="L794" s="31">
        <f t="shared" ca="1" si="37"/>
        <v>40</v>
      </c>
      <c r="M794" s="36">
        <f t="shared" ca="1" si="38"/>
        <v>-415</v>
      </c>
    </row>
    <row r="795" spans="2:13">
      <c r="B795" s="16" t="s">
        <v>1645</v>
      </c>
      <c r="C795" s="16" t="s">
        <v>1662</v>
      </c>
      <c r="D795" s="17">
        <v>44786</v>
      </c>
      <c r="E795" s="16" t="s">
        <v>1683</v>
      </c>
      <c r="F795" s="16" t="s">
        <v>1680</v>
      </c>
      <c r="G795" s="32">
        <v>250</v>
      </c>
      <c r="H795" s="16" t="s">
        <v>32</v>
      </c>
      <c r="I795" s="18">
        <v>1</v>
      </c>
      <c r="J795" s="19">
        <f ca="1">RAND()</f>
        <v>0.79759298926327438</v>
      </c>
      <c r="K795" s="32">
        <f t="shared" si="36"/>
        <v>250</v>
      </c>
      <c r="L795" s="32">
        <f t="shared" ca="1" si="37"/>
        <v>51</v>
      </c>
      <c r="M795" s="37">
        <f t="shared" ca="1" si="38"/>
        <v>-199</v>
      </c>
    </row>
    <row r="796" spans="2:13">
      <c r="B796" s="12" t="s">
        <v>1647</v>
      </c>
      <c r="C796" s="12" t="s">
        <v>1664</v>
      </c>
      <c r="D796" s="13">
        <v>44788</v>
      </c>
      <c r="E796" s="12" t="s">
        <v>1684</v>
      </c>
      <c r="F796" s="12" t="s">
        <v>1682</v>
      </c>
      <c r="G796" s="31">
        <v>130</v>
      </c>
      <c r="H796" s="12" t="s">
        <v>21</v>
      </c>
      <c r="I796" s="14">
        <v>6</v>
      </c>
      <c r="J796" s="15">
        <f ca="1">RAND()</f>
        <v>0.10052438341144798</v>
      </c>
      <c r="K796" s="31">
        <f t="shared" si="36"/>
        <v>780</v>
      </c>
      <c r="L796" s="31">
        <f t="shared" ca="1" si="37"/>
        <v>702</v>
      </c>
      <c r="M796" s="36">
        <f t="shared" ca="1" si="38"/>
        <v>-78</v>
      </c>
    </row>
    <row r="797" spans="2:13">
      <c r="B797" s="16" t="s">
        <v>1649</v>
      </c>
      <c r="C797" s="16" t="s">
        <v>1666</v>
      </c>
      <c r="D797" s="17">
        <v>44772</v>
      </c>
      <c r="E797" s="16" t="s">
        <v>1685</v>
      </c>
      <c r="F797" s="16" t="s">
        <v>1680</v>
      </c>
      <c r="G797" s="32">
        <v>60</v>
      </c>
      <c r="H797" s="16" t="s">
        <v>26</v>
      </c>
      <c r="I797" s="18">
        <v>13</v>
      </c>
      <c r="J797" s="19">
        <f ca="1">RAND()</f>
        <v>0.53093474534093255</v>
      </c>
      <c r="K797" s="32">
        <f t="shared" si="36"/>
        <v>780</v>
      </c>
      <c r="L797" s="32">
        <f t="shared" ca="1" si="37"/>
        <v>366</v>
      </c>
      <c r="M797" s="37">
        <f t="shared" ca="1" si="38"/>
        <v>-414</v>
      </c>
    </row>
    <row r="798" spans="2:13">
      <c r="B798" s="12" t="s">
        <v>1651</v>
      </c>
      <c r="C798" s="12" t="s">
        <v>1668</v>
      </c>
      <c r="D798" s="13">
        <v>44756</v>
      </c>
      <c r="E798" s="12" t="s">
        <v>1686</v>
      </c>
      <c r="F798" s="12" t="s">
        <v>1682</v>
      </c>
      <c r="G798" s="31">
        <v>95</v>
      </c>
      <c r="H798" s="12" t="s">
        <v>32</v>
      </c>
      <c r="I798" s="14">
        <v>6</v>
      </c>
      <c r="J798" s="15">
        <f ca="1">RAND()</f>
        <v>0.14700281333176046</v>
      </c>
      <c r="K798" s="31">
        <f t="shared" si="36"/>
        <v>570</v>
      </c>
      <c r="L798" s="31">
        <f t="shared" ca="1" si="37"/>
        <v>486</v>
      </c>
      <c r="M798" s="36">
        <f t="shared" ca="1" si="38"/>
        <v>-84</v>
      </c>
    </row>
    <row r="799" spans="2:13">
      <c r="B799" s="20" t="s">
        <v>1653</v>
      </c>
      <c r="C799" s="20" t="s">
        <v>1669</v>
      </c>
      <c r="D799" s="21">
        <v>44808</v>
      </c>
      <c r="E799" s="20" t="s">
        <v>1679</v>
      </c>
      <c r="F799" s="20" t="s">
        <v>1680</v>
      </c>
      <c r="G799" s="33">
        <v>72</v>
      </c>
      <c r="H799" s="20" t="s">
        <v>21</v>
      </c>
      <c r="I799" s="22">
        <v>12</v>
      </c>
      <c r="J799" s="23">
        <f ca="1">RAND()</f>
        <v>0.5621931778220981</v>
      </c>
      <c r="K799" s="33">
        <f t="shared" si="36"/>
        <v>864</v>
      </c>
      <c r="L799" s="33">
        <f t="shared" ca="1" si="37"/>
        <v>378</v>
      </c>
      <c r="M799" s="38">
        <f t="shared" ca="1" si="38"/>
        <v>-486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showGridLines="0" showRowColHeaders="0" zoomScale="130" zoomScaleNormal="130" workbookViewId="0">
      <selection activeCell="S10" sqref="S10"/>
      <extLst>
        <ext xmlns:xlsdti="http://schemas.microsoft.com/office/spreadsheetml/2023/showDataTypeIcons" uri="{77bfe23e-c014-4d31-8a63-9c772dbf06b6}">
          <xlsdti:showDataTypeIcons visible="0"/>
        </ext>
      </extLst>
    </sheetView>
  </sheetViews>
  <sheetFormatPr defaultColWidth="7.36328125" defaultRowHeight="13.8"/>
  <cols>
    <col min="1" max="1" width="67.7265625" bestFit="1" customWidth="1"/>
    <col min="3" max="3" width="66.54296875" customWidth="1"/>
  </cols>
  <sheetData>
    <row r="1" spans="1:1" ht="28.2" customHeight="1">
      <c r="A1" s="46" t="s">
        <v>1756</v>
      </c>
    </row>
    <row r="2" spans="1:1">
      <c r="A2" s="1"/>
    </row>
    <row r="3" spans="1:1" ht="14.4">
      <c r="A3" s="44" t="s">
        <v>0</v>
      </c>
    </row>
    <row r="4" spans="1:1" ht="14.4">
      <c r="A4" s="24"/>
    </row>
    <row r="5" spans="1:1" ht="28.8">
      <c r="A5" s="25" t="s">
        <v>1757</v>
      </c>
    </row>
    <row r="6" spans="1:1" ht="28.8">
      <c r="A6" s="25" t="s">
        <v>1758</v>
      </c>
    </row>
    <row r="7" spans="1:1" ht="14.4">
      <c r="A7" s="25" t="s">
        <v>1759</v>
      </c>
    </row>
    <row r="8" spans="1:1" ht="14.4">
      <c r="A8" s="25" t="s">
        <v>1760</v>
      </c>
    </row>
    <row r="9" spans="1:1" ht="14.4">
      <c r="A9" s="25" t="s">
        <v>1761</v>
      </c>
    </row>
    <row r="10" spans="1:1" ht="14.4">
      <c r="A10" s="11" t="s">
        <v>1762</v>
      </c>
    </row>
    <row r="11" spans="1:1" ht="14.4">
      <c r="A11" s="11"/>
    </row>
    <row r="12" spans="1:1" ht="14.4">
      <c r="A12" s="45" t="s">
        <v>1763</v>
      </c>
    </row>
    <row r="13" spans="1:1" ht="14.4">
      <c r="A13" s="11"/>
    </row>
    <row r="14" spans="1:1" ht="86.4">
      <c r="A14" s="25" t="s">
        <v>1764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104"/>
  <sheetViews>
    <sheetView showGridLines="0" showRowColHeaders="0" zoomScale="110" zoomScaleNormal="67" workbookViewId="0">
      <selection activeCell="AH40" sqref="AH40"/>
      <extLst>
        <ext xmlns:xlsdti="http://schemas.microsoft.com/office/spreadsheetml/2023/showDataTypeIcons" uri="{77bfe23e-c014-4d31-8a63-9c772dbf06b6}">
          <xlsdti:showDataTypeIcons visible="0"/>
        </ext>
      </extLst>
    </sheetView>
  </sheetViews>
  <sheetFormatPr defaultColWidth="8.7265625" defaultRowHeight="14.4"/>
  <cols>
    <col min="1" max="1" width="9.81640625" style="11" bestFit="1" customWidth="1"/>
    <col min="2" max="2" width="13.90625" style="11" bestFit="1" customWidth="1"/>
    <col min="3" max="3" width="9.6328125" style="11" bestFit="1" customWidth="1"/>
    <col min="4" max="4" width="9.81640625" style="11" bestFit="1" customWidth="1"/>
    <col min="5" max="5" width="24.08984375" style="11" bestFit="1" customWidth="1"/>
    <col min="6" max="6" width="11.26953125" style="11" customWidth="1"/>
    <col min="7" max="7" width="24.08984375" style="11" bestFit="1" customWidth="1"/>
    <col min="8" max="8" width="15.90625" style="11" bestFit="1" customWidth="1"/>
    <col min="9" max="9" width="17.6328125" style="11" bestFit="1" customWidth="1"/>
    <col min="10" max="10" width="22.1796875" style="11" bestFit="1" customWidth="1"/>
    <col min="11" max="11" width="24.1796875" style="11" bestFit="1" customWidth="1"/>
    <col min="12" max="12" width="12" style="11" bestFit="1" customWidth="1"/>
    <col min="13" max="13" width="17.6328125" style="11" bestFit="1" customWidth="1"/>
    <col min="14" max="14" width="11.1796875" style="11"/>
    <col min="15" max="16384" width="8.7265625" style="11"/>
  </cols>
  <sheetData>
    <row r="2" spans="1:7">
      <c r="A2" s="43" t="s">
        <v>1687</v>
      </c>
      <c r="C2" s="43" t="s">
        <v>1688</v>
      </c>
      <c r="E2" s="43" t="s">
        <v>1689</v>
      </c>
      <c r="G2" s="43" t="s">
        <v>1690</v>
      </c>
    </row>
    <row r="4" spans="1:7">
      <c r="A4" s="11" t="s">
        <v>1691</v>
      </c>
      <c r="C4" s="11" t="s">
        <v>1696</v>
      </c>
      <c r="E4" s="11" t="s">
        <v>1692</v>
      </c>
      <c r="G4" s="11" t="s">
        <v>1693</v>
      </c>
    </row>
    <row r="5" spans="1:7">
      <c r="A5" s="41">
        <v>403</v>
      </c>
      <c r="C5" s="34">
        <v>122381</v>
      </c>
      <c r="E5" s="42">
        <v>303.67493796526054</v>
      </c>
      <c r="G5" s="42">
        <v>-245.94292803970222</v>
      </c>
    </row>
    <row r="7" spans="1:7">
      <c r="A7" s="43" t="s">
        <v>1788</v>
      </c>
      <c r="B7" s="49"/>
    </row>
    <row r="9" spans="1:7">
      <c r="A9" s="39" t="s">
        <v>1670</v>
      </c>
      <c r="B9" s="11" t="s">
        <v>1694</v>
      </c>
      <c r="C9" s="11" t="s">
        <v>1695</v>
      </c>
    </row>
    <row r="10" spans="1:7">
      <c r="A10" s="25" t="s">
        <v>1686</v>
      </c>
      <c r="B10" s="51">
        <v>14</v>
      </c>
      <c r="C10" s="34">
        <v>4654</v>
      </c>
    </row>
    <row r="11" spans="1:7">
      <c r="A11" s="11" t="s">
        <v>1681</v>
      </c>
      <c r="B11" s="51">
        <v>83</v>
      </c>
      <c r="C11" s="34">
        <v>22608</v>
      </c>
    </row>
    <row r="12" spans="1:7">
      <c r="A12" s="11" t="s">
        <v>1683</v>
      </c>
      <c r="B12" s="51">
        <v>84</v>
      </c>
      <c r="C12" s="34">
        <v>25263</v>
      </c>
    </row>
    <row r="13" spans="1:7">
      <c r="A13" s="11" t="s">
        <v>1684</v>
      </c>
      <c r="B13" s="51">
        <v>88</v>
      </c>
      <c r="C13" s="34">
        <v>28407</v>
      </c>
    </row>
    <row r="14" spans="1:7">
      <c r="A14" s="11" t="s">
        <v>1685</v>
      </c>
      <c r="B14" s="51">
        <v>42</v>
      </c>
      <c r="C14" s="34">
        <v>13672</v>
      </c>
    </row>
    <row r="15" spans="1:7">
      <c r="A15" s="11" t="s">
        <v>1679</v>
      </c>
      <c r="B15" s="51">
        <v>92</v>
      </c>
      <c r="C15" s="34">
        <v>27777</v>
      </c>
    </row>
    <row r="17" spans="1:13">
      <c r="A17" s="43" t="s">
        <v>1</v>
      </c>
      <c r="B17" s="49"/>
      <c r="D17" s="43" t="s">
        <v>2</v>
      </c>
      <c r="E17" s="43"/>
      <c r="G17" s="43" t="s">
        <v>3</v>
      </c>
      <c r="H17" s="43"/>
    </row>
    <row r="18" spans="1:13">
      <c r="G18" s="27"/>
    </row>
    <row r="19" spans="1:13">
      <c r="A19" s="39" t="s">
        <v>1656</v>
      </c>
      <c r="B19" s="11" t="s">
        <v>1789</v>
      </c>
      <c r="D19" s="39" t="s">
        <v>1656</v>
      </c>
      <c r="E19" s="11" t="s">
        <v>1696</v>
      </c>
      <c r="G19" s="39" t="s">
        <v>1696</v>
      </c>
      <c r="H19" s="39" t="s">
        <v>1670</v>
      </c>
    </row>
    <row r="20" spans="1:13">
      <c r="A20" s="40" t="s">
        <v>1697</v>
      </c>
      <c r="B20" s="51">
        <v>6</v>
      </c>
      <c r="D20" s="40" t="s">
        <v>1697</v>
      </c>
      <c r="E20" s="34">
        <v>2784</v>
      </c>
      <c r="G20" s="39" t="s">
        <v>1656</v>
      </c>
      <c r="H20" s="11" t="s">
        <v>1686</v>
      </c>
      <c r="I20" s="11" t="s">
        <v>1681</v>
      </c>
      <c r="J20" s="11" t="s">
        <v>1683</v>
      </c>
      <c r="K20" s="11" t="s">
        <v>1684</v>
      </c>
      <c r="L20" s="11" t="s">
        <v>1685</v>
      </c>
      <c r="M20" s="11" t="s">
        <v>1679</v>
      </c>
    </row>
    <row r="21" spans="1:13">
      <c r="A21" s="40" t="s">
        <v>1698</v>
      </c>
      <c r="B21" s="51">
        <v>4</v>
      </c>
      <c r="D21" s="40" t="s">
        <v>1698</v>
      </c>
      <c r="E21" s="34">
        <v>1223</v>
      </c>
      <c r="G21" s="40" t="s">
        <v>1697</v>
      </c>
      <c r="H21" s="26"/>
      <c r="I21" s="26"/>
      <c r="J21" s="26">
        <v>922</v>
      </c>
      <c r="K21" s="26">
        <v>626</v>
      </c>
      <c r="L21" s="26">
        <v>878</v>
      </c>
      <c r="M21" s="26">
        <v>358</v>
      </c>
    </row>
    <row r="22" spans="1:13">
      <c r="A22" s="40" t="s">
        <v>1699</v>
      </c>
      <c r="B22" s="51">
        <v>9</v>
      </c>
      <c r="D22" s="40" t="s">
        <v>1699</v>
      </c>
      <c r="E22" s="34">
        <v>2227</v>
      </c>
      <c r="G22" s="40" t="s">
        <v>1698</v>
      </c>
      <c r="H22" s="26"/>
      <c r="I22" s="26"/>
      <c r="J22" s="26">
        <v>181</v>
      </c>
      <c r="K22" s="26">
        <v>517</v>
      </c>
      <c r="L22" s="26"/>
      <c r="M22" s="26">
        <v>525</v>
      </c>
    </row>
    <row r="23" spans="1:13">
      <c r="A23" s="40" t="s">
        <v>1700</v>
      </c>
      <c r="B23" s="51">
        <v>4</v>
      </c>
      <c r="D23" s="40" t="s">
        <v>1700</v>
      </c>
      <c r="E23" s="34">
        <v>1501</v>
      </c>
      <c r="G23" s="40" t="s">
        <v>1699</v>
      </c>
      <c r="H23" s="26"/>
      <c r="I23" s="26">
        <v>509</v>
      </c>
      <c r="J23" s="26">
        <v>603</v>
      </c>
      <c r="K23" s="26">
        <v>450</v>
      </c>
      <c r="L23" s="26"/>
      <c r="M23" s="26">
        <v>665</v>
      </c>
    </row>
    <row r="24" spans="1:13">
      <c r="A24" s="40" t="s">
        <v>1701</v>
      </c>
      <c r="B24" s="51">
        <v>7</v>
      </c>
      <c r="D24" s="40" t="s">
        <v>1701</v>
      </c>
      <c r="E24" s="34">
        <v>2523</v>
      </c>
      <c r="G24" s="40" t="s">
        <v>1700</v>
      </c>
      <c r="H24" s="26"/>
      <c r="I24" s="26">
        <v>632</v>
      </c>
      <c r="J24" s="26">
        <v>161</v>
      </c>
      <c r="K24" s="26"/>
      <c r="L24" s="26"/>
      <c r="M24" s="26">
        <v>708</v>
      </c>
    </row>
    <row r="25" spans="1:13">
      <c r="A25" s="40" t="s">
        <v>1702</v>
      </c>
      <c r="B25" s="51">
        <v>4</v>
      </c>
      <c r="D25" s="40" t="s">
        <v>1702</v>
      </c>
      <c r="E25" s="34">
        <v>2242</v>
      </c>
      <c r="G25" s="40" t="s">
        <v>1701</v>
      </c>
      <c r="H25" s="26"/>
      <c r="I25" s="26">
        <v>354</v>
      </c>
      <c r="J25" s="26">
        <v>910</v>
      </c>
      <c r="K25" s="26">
        <v>539</v>
      </c>
      <c r="L25" s="26">
        <v>289</v>
      </c>
      <c r="M25" s="26">
        <v>431</v>
      </c>
    </row>
    <row r="26" spans="1:13">
      <c r="A26" s="40" t="s">
        <v>1703</v>
      </c>
      <c r="B26" s="51">
        <v>8</v>
      </c>
      <c r="D26" s="40" t="s">
        <v>1703</v>
      </c>
      <c r="E26" s="34">
        <v>2137</v>
      </c>
      <c r="G26" s="40" t="s">
        <v>1702</v>
      </c>
      <c r="H26" s="26"/>
      <c r="I26" s="26">
        <v>551</v>
      </c>
      <c r="J26" s="26"/>
      <c r="K26" s="26">
        <v>477</v>
      </c>
      <c r="L26" s="26">
        <v>761</v>
      </c>
      <c r="M26" s="26">
        <v>453</v>
      </c>
    </row>
    <row r="27" spans="1:13">
      <c r="A27" s="40" t="s">
        <v>1704</v>
      </c>
      <c r="B27" s="51">
        <v>4</v>
      </c>
      <c r="D27" s="40" t="s">
        <v>1704</v>
      </c>
      <c r="E27" s="34">
        <v>1802</v>
      </c>
      <c r="G27" s="40" t="s">
        <v>1703</v>
      </c>
      <c r="H27" s="26">
        <v>1223</v>
      </c>
      <c r="I27" s="26">
        <v>403</v>
      </c>
      <c r="J27" s="26"/>
      <c r="K27" s="26">
        <v>96</v>
      </c>
      <c r="L27" s="26">
        <v>263</v>
      </c>
      <c r="M27" s="26">
        <v>152</v>
      </c>
    </row>
    <row r="28" spans="1:13">
      <c r="A28" s="40" t="s">
        <v>1705</v>
      </c>
      <c r="B28" s="51">
        <v>5</v>
      </c>
      <c r="D28" s="40" t="s">
        <v>1705</v>
      </c>
      <c r="E28" s="34">
        <v>1846</v>
      </c>
      <c r="G28" s="40" t="s">
        <v>1704</v>
      </c>
      <c r="H28" s="26"/>
      <c r="I28" s="26"/>
      <c r="J28" s="26"/>
      <c r="K28" s="26">
        <v>1464</v>
      </c>
      <c r="L28" s="26">
        <v>338</v>
      </c>
      <c r="M28" s="26"/>
    </row>
    <row r="29" spans="1:13">
      <c r="A29" s="40" t="s">
        <v>1706</v>
      </c>
      <c r="B29" s="51">
        <v>23</v>
      </c>
      <c r="D29" s="40" t="s">
        <v>1706</v>
      </c>
      <c r="E29" s="34">
        <v>7987</v>
      </c>
      <c r="G29" s="40" t="s">
        <v>1705</v>
      </c>
      <c r="H29" s="26"/>
      <c r="I29" s="26">
        <v>243</v>
      </c>
      <c r="J29" s="26"/>
      <c r="K29" s="26">
        <v>770</v>
      </c>
      <c r="L29" s="26"/>
      <c r="M29" s="26">
        <v>833</v>
      </c>
    </row>
    <row r="30" spans="1:13">
      <c r="A30" s="40" t="s">
        <v>1707</v>
      </c>
      <c r="B30" s="51">
        <v>19</v>
      </c>
      <c r="D30" s="40" t="s">
        <v>1707</v>
      </c>
      <c r="E30" s="34">
        <v>4467</v>
      </c>
      <c r="G30" s="40" t="s">
        <v>1706</v>
      </c>
      <c r="H30" s="26">
        <v>496</v>
      </c>
      <c r="I30" s="26">
        <v>888</v>
      </c>
      <c r="J30" s="26">
        <v>2145</v>
      </c>
      <c r="K30" s="26">
        <v>1852</v>
      </c>
      <c r="L30" s="26">
        <v>714</v>
      </c>
      <c r="M30" s="26">
        <v>1892</v>
      </c>
    </row>
    <row r="31" spans="1:13">
      <c r="A31" s="40" t="s">
        <v>1708</v>
      </c>
      <c r="B31" s="51">
        <v>6</v>
      </c>
      <c r="D31" s="40" t="s">
        <v>1708</v>
      </c>
      <c r="E31" s="34">
        <v>1506</v>
      </c>
      <c r="G31" s="40" t="s">
        <v>1707</v>
      </c>
      <c r="H31" s="26"/>
      <c r="I31" s="26">
        <v>611</v>
      </c>
      <c r="J31" s="26">
        <v>1889</v>
      </c>
      <c r="K31" s="26">
        <v>228</v>
      </c>
      <c r="L31" s="26">
        <v>218</v>
      </c>
      <c r="M31" s="26">
        <v>1521</v>
      </c>
    </row>
    <row r="32" spans="1:13">
      <c r="A32" s="40" t="s">
        <v>1709</v>
      </c>
      <c r="B32" s="51">
        <v>13</v>
      </c>
      <c r="D32" s="40" t="s">
        <v>1709</v>
      </c>
      <c r="E32" s="34">
        <v>4677</v>
      </c>
      <c r="G32" s="40" t="s">
        <v>1708</v>
      </c>
      <c r="H32" s="26"/>
      <c r="I32" s="26"/>
      <c r="J32" s="26">
        <v>678</v>
      </c>
      <c r="K32" s="26">
        <v>53</v>
      </c>
      <c r="L32" s="26">
        <v>415</v>
      </c>
      <c r="M32" s="26">
        <v>360</v>
      </c>
    </row>
    <row r="33" spans="1:13">
      <c r="A33" s="40" t="s">
        <v>1710</v>
      </c>
      <c r="B33" s="51">
        <v>10</v>
      </c>
      <c r="D33" s="40" t="s">
        <v>1710</v>
      </c>
      <c r="E33" s="34">
        <v>4684</v>
      </c>
      <c r="G33" s="40" t="s">
        <v>1709</v>
      </c>
      <c r="H33" s="26"/>
      <c r="I33" s="26">
        <v>635</v>
      </c>
      <c r="J33" s="26">
        <v>2436</v>
      </c>
      <c r="K33" s="26">
        <v>11</v>
      </c>
      <c r="L33" s="26">
        <v>594</v>
      </c>
      <c r="M33" s="26">
        <v>1001</v>
      </c>
    </row>
    <row r="34" spans="1:13">
      <c r="A34" s="40" t="s">
        <v>1711</v>
      </c>
      <c r="B34" s="51">
        <v>6</v>
      </c>
      <c r="D34" s="40" t="s">
        <v>1711</v>
      </c>
      <c r="E34" s="34">
        <v>1621</v>
      </c>
      <c r="G34" s="40" t="s">
        <v>1710</v>
      </c>
      <c r="H34" s="26"/>
      <c r="I34" s="26">
        <v>231</v>
      </c>
      <c r="J34" s="26">
        <v>545</v>
      </c>
      <c r="K34" s="26">
        <v>1371</v>
      </c>
      <c r="L34" s="26">
        <v>1275</v>
      </c>
      <c r="M34" s="26">
        <v>1262</v>
      </c>
    </row>
    <row r="35" spans="1:13">
      <c r="A35" s="40" t="s">
        <v>1712</v>
      </c>
      <c r="B35" s="51">
        <v>14</v>
      </c>
      <c r="D35" s="40" t="s">
        <v>1712</v>
      </c>
      <c r="E35" s="34">
        <v>3719</v>
      </c>
      <c r="G35" s="40" t="s">
        <v>1711</v>
      </c>
      <c r="H35" s="26">
        <v>39</v>
      </c>
      <c r="I35" s="26">
        <v>615</v>
      </c>
      <c r="J35" s="26"/>
      <c r="K35" s="26">
        <v>159</v>
      </c>
      <c r="L35" s="26"/>
      <c r="M35" s="26">
        <v>808</v>
      </c>
    </row>
    <row r="36" spans="1:13">
      <c r="A36" s="40" t="s">
        <v>1713</v>
      </c>
      <c r="B36" s="51">
        <v>8</v>
      </c>
      <c r="D36" s="40" t="s">
        <v>1713</v>
      </c>
      <c r="E36" s="34">
        <v>1957</v>
      </c>
      <c r="G36" s="40" t="s">
        <v>1712</v>
      </c>
      <c r="H36" s="26">
        <v>335</v>
      </c>
      <c r="I36" s="26">
        <v>505</v>
      </c>
      <c r="J36" s="26">
        <v>1354</v>
      </c>
      <c r="K36" s="26">
        <v>952</v>
      </c>
      <c r="L36" s="26">
        <v>244</v>
      </c>
      <c r="M36" s="26">
        <v>329</v>
      </c>
    </row>
    <row r="37" spans="1:13">
      <c r="A37" s="40" t="s">
        <v>1714</v>
      </c>
      <c r="B37" s="51">
        <v>11</v>
      </c>
      <c r="D37" s="40" t="s">
        <v>1714</v>
      </c>
      <c r="E37" s="34">
        <v>4277</v>
      </c>
      <c r="G37" s="40" t="s">
        <v>1713</v>
      </c>
      <c r="H37" s="26">
        <v>395</v>
      </c>
      <c r="I37" s="26">
        <v>453</v>
      </c>
      <c r="J37" s="26">
        <v>189</v>
      </c>
      <c r="K37" s="26">
        <v>920</v>
      </c>
      <c r="L37" s="26"/>
      <c r="M37" s="26"/>
    </row>
    <row r="38" spans="1:13">
      <c r="A38" s="40" t="s">
        <v>1715</v>
      </c>
      <c r="B38" s="51">
        <v>6</v>
      </c>
      <c r="D38" s="40" t="s">
        <v>1715</v>
      </c>
      <c r="E38" s="34">
        <v>1727</v>
      </c>
      <c r="G38" s="40" t="s">
        <v>1714</v>
      </c>
      <c r="H38" s="26"/>
      <c r="I38" s="26">
        <v>1219</v>
      </c>
      <c r="J38" s="26">
        <v>595</v>
      </c>
      <c r="K38" s="26">
        <v>2048</v>
      </c>
      <c r="L38" s="26"/>
      <c r="M38" s="26">
        <v>415</v>
      </c>
    </row>
    <row r="39" spans="1:13">
      <c r="A39" s="40" t="s">
        <v>1716</v>
      </c>
      <c r="B39" s="51">
        <v>8</v>
      </c>
      <c r="D39" s="40" t="s">
        <v>1716</v>
      </c>
      <c r="E39" s="34">
        <v>1511</v>
      </c>
      <c r="G39" s="40" t="s">
        <v>1715</v>
      </c>
      <c r="H39" s="26"/>
      <c r="I39" s="26">
        <v>713</v>
      </c>
      <c r="J39" s="26"/>
      <c r="K39" s="26">
        <v>909</v>
      </c>
      <c r="L39" s="26">
        <v>83</v>
      </c>
      <c r="M39" s="26">
        <v>22</v>
      </c>
    </row>
    <row r="40" spans="1:13">
      <c r="A40" s="40" t="s">
        <v>1717</v>
      </c>
      <c r="B40" s="51">
        <v>6</v>
      </c>
      <c r="D40" s="40" t="s">
        <v>1717</v>
      </c>
      <c r="E40" s="34">
        <v>2025</v>
      </c>
      <c r="G40" s="40" t="s">
        <v>1716</v>
      </c>
      <c r="H40" s="26"/>
      <c r="I40" s="26">
        <v>151</v>
      </c>
      <c r="J40" s="26">
        <v>495</v>
      </c>
      <c r="K40" s="26">
        <v>192</v>
      </c>
      <c r="L40" s="26">
        <v>104</v>
      </c>
      <c r="M40" s="26">
        <v>569</v>
      </c>
    </row>
    <row r="41" spans="1:13">
      <c r="A41" s="40" t="s">
        <v>1718</v>
      </c>
      <c r="B41" s="51">
        <v>5</v>
      </c>
      <c r="D41" s="40" t="s">
        <v>1718</v>
      </c>
      <c r="E41" s="34">
        <v>858</v>
      </c>
      <c r="G41" s="40" t="s">
        <v>1717</v>
      </c>
      <c r="H41" s="26"/>
      <c r="I41" s="26">
        <v>1162</v>
      </c>
      <c r="J41" s="26"/>
      <c r="K41" s="26">
        <v>322</v>
      </c>
      <c r="L41" s="26">
        <v>402</v>
      </c>
      <c r="M41" s="26">
        <v>139</v>
      </c>
    </row>
    <row r="42" spans="1:13">
      <c r="A42" s="40" t="s">
        <v>1719</v>
      </c>
      <c r="B42" s="51">
        <v>5</v>
      </c>
      <c r="D42" s="40" t="s">
        <v>1719</v>
      </c>
      <c r="E42" s="34">
        <v>757</v>
      </c>
      <c r="G42" s="40" t="s">
        <v>1718</v>
      </c>
      <c r="H42" s="26"/>
      <c r="I42" s="26">
        <v>238</v>
      </c>
      <c r="J42" s="26"/>
      <c r="K42" s="26">
        <v>620</v>
      </c>
      <c r="L42" s="26"/>
      <c r="M42" s="26"/>
    </row>
    <row r="43" spans="1:13">
      <c r="A43" s="40" t="s">
        <v>1720</v>
      </c>
      <c r="B43" s="51">
        <v>8</v>
      </c>
      <c r="D43" s="40" t="s">
        <v>1720</v>
      </c>
      <c r="E43" s="34">
        <v>2559</v>
      </c>
      <c r="G43" s="40" t="s">
        <v>1719</v>
      </c>
      <c r="H43" s="26"/>
      <c r="I43" s="26">
        <v>39</v>
      </c>
      <c r="J43" s="26">
        <v>385</v>
      </c>
      <c r="K43" s="26">
        <v>54</v>
      </c>
      <c r="L43" s="26"/>
      <c r="M43" s="26">
        <v>279</v>
      </c>
    </row>
    <row r="44" spans="1:13">
      <c r="A44" s="40" t="s">
        <v>1721</v>
      </c>
      <c r="B44" s="51">
        <v>6</v>
      </c>
      <c r="D44" s="40" t="s">
        <v>1721</v>
      </c>
      <c r="E44" s="34">
        <v>1621</v>
      </c>
      <c r="G44" s="40" t="s">
        <v>1720</v>
      </c>
      <c r="H44" s="26">
        <v>644</v>
      </c>
      <c r="I44" s="26">
        <v>704</v>
      </c>
      <c r="J44" s="26">
        <v>114</v>
      </c>
      <c r="K44" s="26">
        <v>238</v>
      </c>
      <c r="L44" s="26">
        <v>634</v>
      </c>
      <c r="M44" s="26">
        <v>225</v>
      </c>
    </row>
    <row r="45" spans="1:13">
      <c r="A45" s="40" t="s">
        <v>1722</v>
      </c>
      <c r="B45" s="51">
        <v>4</v>
      </c>
      <c r="D45" s="40" t="s">
        <v>1722</v>
      </c>
      <c r="E45" s="34">
        <v>1035</v>
      </c>
      <c r="G45" s="40" t="s">
        <v>1721</v>
      </c>
      <c r="H45" s="26"/>
      <c r="I45" s="26">
        <v>27</v>
      </c>
      <c r="J45" s="26">
        <v>65</v>
      </c>
      <c r="K45" s="26">
        <v>235</v>
      </c>
      <c r="L45" s="26">
        <v>686</v>
      </c>
      <c r="M45" s="26">
        <v>608</v>
      </c>
    </row>
    <row r="46" spans="1:13">
      <c r="A46" s="40" t="s">
        <v>1723</v>
      </c>
      <c r="B46" s="51">
        <v>5</v>
      </c>
      <c r="D46" s="40" t="s">
        <v>1723</v>
      </c>
      <c r="E46" s="34">
        <v>2154</v>
      </c>
      <c r="G46" s="40" t="s">
        <v>1722</v>
      </c>
      <c r="H46" s="26"/>
      <c r="I46" s="26"/>
      <c r="J46" s="26"/>
      <c r="K46" s="26">
        <v>324</v>
      </c>
      <c r="L46" s="26">
        <v>711</v>
      </c>
      <c r="M46" s="26"/>
    </row>
    <row r="47" spans="1:13">
      <c r="A47" s="40" t="s">
        <v>1724</v>
      </c>
      <c r="B47" s="51">
        <v>7</v>
      </c>
      <c r="D47" s="40" t="s">
        <v>1724</v>
      </c>
      <c r="E47" s="34">
        <v>1050</v>
      </c>
      <c r="G47" s="40" t="s">
        <v>1723</v>
      </c>
      <c r="H47" s="26"/>
      <c r="I47" s="26"/>
      <c r="J47" s="26"/>
      <c r="K47" s="26">
        <v>319</v>
      </c>
      <c r="L47" s="26">
        <v>365</v>
      </c>
      <c r="M47" s="26">
        <v>1470</v>
      </c>
    </row>
    <row r="48" spans="1:13">
      <c r="A48" s="40" t="s">
        <v>1725</v>
      </c>
      <c r="B48" s="51">
        <v>7</v>
      </c>
      <c r="D48" s="40" t="s">
        <v>1725</v>
      </c>
      <c r="E48" s="34">
        <v>2122</v>
      </c>
      <c r="G48" s="40" t="s">
        <v>1724</v>
      </c>
      <c r="H48" s="26"/>
      <c r="I48" s="26">
        <v>329</v>
      </c>
      <c r="J48" s="26">
        <v>7</v>
      </c>
      <c r="K48" s="26">
        <v>30</v>
      </c>
      <c r="L48" s="26"/>
      <c r="M48" s="26">
        <v>684</v>
      </c>
    </row>
    <row r="49" spans="1:13">
      <c r="A49" s="40" t="s">
        <v>1726</v>
      </c>
      <c r="B49" s="51">
        <v>2</v>
      </c>
      <c r="D49" s="40" t="s">
        <v>1726</v>
      </c>
      <c r="E49" s="34">
        <v>995</v>
      </c>
      <c r="G49" s="40" t="s">
        <v>1725</v>
      </c>
      <c r="H49" s="26"/>
      <c r="I49" s="26"/>
      <c r="J49" s="26"/>
      <c r="K49" s="26">
        <v>1330</v>
      </c>
      <c r="L49" s="26">
        <v>492</v>
      </c>
      <c r="M49" s="26">
        <v>300</v>
      </c>
    </row>
    <row r="50" spans="1:13">
      <c r="A50" s="40" t="s">
        <v>1727</v>
      </c>
      <c r="B50" s="51">
        <v>3</v>
      </c>
      <c r="D50" s="40" t="s">
        <v>1727</v>
      </c>
      <c r="E50" s="34">
        <v>1220</v>
      </c>
      <c r="G50" s="40" t="s">
        <v>1726</v>
      </c>
      <c r="H50" s="26"/>
      <c r="I50" s="26"/>
      <c r="J50" s="26">
        <v>733</v>
      </c>
      <c r="K50" s="26"/>
      <c r="L50" s="26">
        <v>262</v>
      </c>
      <c r="M50" s="26"/>
    </row>
    <row r="51" spans="1:13">
      <c r="A51" s="40" t="s">
        <v>1728</v>
      </c>
      <c r="B51" s="51">
        <v>2</v>
      </c>
      <c r="D51" s="40" t="s">
        <v>1728</v>
      </c>
      <c r="E51" s="34">
        <v>284</v>
      </c>
      <c r="G51" s="40" t="s">
        <v>1727</v>
      </c>
      <c r="H51" s="26"/>
      <c r="I51" s="26"/>
      <c r="J51" s="26">
        <v>453</v>
      </c>
      <c r="K51" s="26"/>
      <c r="L51" s="26"/>
      <c r="M51" s="26">
        <v>767</v>
      </c>
    </row>
    <row r="52" spans="1:13">
      <c r="A52" s="40" t="s">
        <v>1729</v>
      </c>
      <c r="B52" s="51">
        <v>8</v>
      </c>
      <c r="D52" s="40" t="s">
        <v>1729</v>
      </c>
      <c r="E52" s="34">
        <v>2983</v>
      </c>
      <c r="G52" s="40" t="s">
        <v>1728</v>
      </c>
      <c r="H52" s="26"/>
      <c r="I52" s="26">
        <v>284</v>
      </c>
      <c r="J52" s="26"/>
      <c r="K52" s="26"/>
      <c r="L52" s="26"/>
      <c r="M52" s="26"/>
    </row>
    <row r="53" spans="1:13">
      <c r="A53" s="40" t="s">
        <v>1730</v>
      </c>
      <c r="B53" s="51">
        <v>4</v>
      </c>
      <c r="D53" s="40" t="s">
        <v>1730</v>
      </c>
      <c r="E53" s="34">
        <v>1222</v>
      </c>
      <c r="G53" s="40" t="s">
        <v>1729</v>
      </c>
      <c r="H53" s="26">
        <v>434</v>
      </c>
      <c r="I53" s="26"/>
      <c r="J53" s="26">
        <v>1268</v>
      </c>
      <c r="K53" s="26"/>
      <c r="L53" s="26"/>
      <c r="M53" s="26">
        <v>1281</v>
      </c>
    </row>
    <row r="54" spans="1:13">
      <c r="A54" s="40" t="s">
        <v>1731</v>
      </c>
      <c r="B54" s="51">
        <v>3</v>
      </c>
      <c r="D54" s="40" t="s">
        <v>1731</v>
      </c>
      <c r="E54" s="34">
        <v>696</v>
      </c>
      <c r="G54" s="40" t="s">
        <v>1730</v>
      </c>
      <c r="H54" s="26"/>
      <c r="I54" s="26">
        <v>304</v>
      </c>
      <c r="J54" s="26">
        <v>134</v>
      </c>
      <c r="K54" s="26">
        <v>443</v>
      </c>
      <c r="L54" s="26"/>
      <c r="M54" s="26">
        <v>341</v>
      </c>
    </row>
    <row r="55" spans="1:13">
      <c r="A55" s="40" t="s">
        <v>1732</v>
      </c>
      <c r="B55" s="51">
        <v>4</v>
      </c>
      <c r="D55" s="40" t="s">
        <v>1732</v>
      </c>
      <c r="E55" s="34">
        <v>899</v>
      </c>
      <c r="G55" s="40" t="s">
        <v>1731</v>
      </c>
      <c r="H55" s="26"/>
      <c r="I55" s="26">
        <v>61</v>
      </c>
      <c r="J55" s="26"/>
      <c r="K55" s="26"/>
      <c r="L55" s="26"/>
      <c r="M55" s="26">
        <v>635</v>
      </c>
    </row>
    <row r="56" spans="1:13">
      <c r="A56" s="40" t="s">
        <v>1733</v>
      </c>
      <c r="B56" s="51">
        <v>2</v>
      </c>
      <c r="D56" s="40" t="s">
        <v>1733</v>
      </c>
      <c r="E56" s="34">
        <v>566</v>
      </c>
      <c r="G56" s="40" t="s">
        <v>1732</v>
      </c>
      <c r="H56" s="26"/>
      <c r="I56" s="26"/>
      <c r="J56" s="26"/>
      <c r="K56" s="26">
        <v>121</v>
      </c>
      <c r="L56" s="26">
        <v>33</v>
      </c>
      <c r="M56" s="26">
        <v>745</v>
      </c>
    </row>
    <row r="57" spans="1:13">
      <c r="A57" s="40" t="s">
        <v>1734</v>
      </c>
      <c r="B57" s="51">
        <v>1</v>
      </c>
      <c r="D57" s="40" t="s">
        <v>1734</v>
      </c>
      <c r="E57" s="34">
        <v>777</v>
      </c>
      <c r="G57" s="40" t="s">
        <v>1733</v>
      </c>
      <c r="H57" s="26"/>
      <c r="I57" s="26"/>
      <c r="J57" s="26">
        <v>316</v>
      </c>
      <c r="K57" s="26"/>
      <c r="L57" s="26">
        <v>250</v>
      </c>
      <c r="M57" s="26"/>
    </row>
    <row r="58" spans="1:13">
      <c r="A58" s="40" t="s">
        <v>1735</v>
      </c>
      <c r="B58" s="51">
        <v>1</v>
      </c>
      <c r="D58" s="40" t="s">
        <v>1735</v>
      </c>
      <c r="E58" s="34">
        <v>135</v>
      </c>
      <c r="G58" s="40" t="s">
        <v>1734</v>
      </c>
      <c r="H58" s="26"/>
      <c r="I58" s="26"/>
      <c r="J58" s="26"/>
      <c r="K58" s="26">
        <v>777</v>
      </c>
      <c r="L58" s="26"/>
      <c r="M58" s="26"/>
    </row>
    <row r="59" spans="1:13">
      <c r="A59" s="40" t="s">
        <v>1736</v>
      </c>
      <c r="B59" s="51">
        <v>2</v>
      </c>
      <c r="D59" s="40" t="s">
        <v>1736</v>
      </c>
      <c r="E59" s="34">
        <v>388</v>
      </c>
      <c r="G59" s="40" t="s">
        <v>1735</v>
      </c>
      <c r="H59" s="26"/>
      <c r="I59" s="26"/>
      <c r="J59" s="26">
        <v>135</v>
      </c>
      <c r="K59" s="26"/>
      <c r="L59" s="26"/>
      <c r="M59" s="26"/>
    </row>
    <row r="60" spans="1:13">
      <c r="A60" s="40" t="s">
        <v>1737</v>
      </c>
      <c r="B60" s="51">
        <v>2</v>
      </c>
      <c r="D60" s="40" t="s">
        <v>1737</v>
      </c>
      <c r="E60" s="34">
        <v>550</v>
      </c>
      <c r="G60" s="40" t="s">
        <v>1736</v>
      </c>
      <c r="H60" s="26"/>
      <c r="I60" s="26"/>
      <c r="J60" s="26">
        <v>147</v>
      </c>
      <c r="K60" s="26"/>
      <c r="L60" s="26"/>
      <c r="M60" s="26">
        <v>241</v>
      </c>
    </row>
    <row r="61" spans="1:13">
      <c r="A61" s="40" t="s">
        <v>1738</v>
      </c>
      <c r="B61" s="51">
        <v>3</v>
      </c>
      <c r="D61" s="40" t="s">
        <v>1738</v>
      </c>
      <c r="E61" s="34">
        <v>421</v>
      </c>
      <c r="G61" s="40" t="s">
        <v>1737</v>
      </c>
      <c r="H61" s="26"/>
      <c r="I61" s="26"/>
      <c r="J61" s="26">
        <v>550</v>
      </c>
      <c r="K61" s="26"/>
      <c r="L61" s="26"/>
      <c r="M61" s="26"/>
    </row>
    <row r="62" spans="1:13">
      <c r="A62" s="40" t="s">
        <v>1739</v>
      </c>
      <c r="B62" s="51">
        <v>2</v>
      </c>
      <c r="D62" s="40" t="s">
        <v>1739</v>
      </c>
      <c r="E62" s="34">
        <v>141</v>
      </c>
      <c r="G62" s="40" t="s">
        <v>1738</v>
      </c>
      <c r="H62" s="26"/>
      <c r="I62" s="26"/>
      <c r="J62" s="26"/>
      <c r="K62" s="26">
        <v>150</v>
      </c>
      <c r="L62" s="26">
        <v>45</v>
      </c>
      <c r="M62" s="26">
        <v>226</v>
      </c>
    </row>
    <row r="63" spans="1:13">
      <c r="A63" s="40" t="s">
        <v>1740</v>
      </c>
      <c r="B63" s="51">
        <v>2</v>
      </c>
      <c r="D63" s="40" t="s">
        <v>1740</v>
      </c>
      <c r="E63" s="34">
        <v>965</v>
      </c>
      <c r="G63" s="40" t="s">
        <v>1739</v>
      </c>
      <c r="H63" s="26"/>
      <c r="I63" s="26">
        <v>38</v>
      </c>
      <c r="J63" s="26"/>
      <c r="K63" s="26"/>
      <c r="L63" s="26"/>
      <c r="M63" s="26">
        <v>103</v>
      </c>
    </row>
    <row r="64" spans="1:13">
      <c r="A64" s="40" t="s">
        <v>1741</v>
      </c>
      <c r="B64" s="51">
        <v>2</v>
      </c>
      <c r="D64" s="40" t="s">
        <v>1741</v>
      </c>
      <c r="E64" s="34">
        <v>613</v>
      </c>
      <c r="G64" s="40" t="s">
        <v>1740</v>
      </c>
      <c r="H64" s="26"/>
      <c r="I64" s="26"/>
      <c r="J64" s="26"/>
      <c r="K64" s="26">
        <v>595</v>
      </c>
      <c r="L64" s="26">
        <v>370</v>
      </c>
      <c r="M64" s="26"/>
    </row>
    <row r="65" spans="1:13">
      <c r="A65" s="40" t="s">
        <v>1742</v>
      </c>
      <c r="B65" s="51">
        <v>5</v>
      </c>
      <c r="D65" s="40" t="s">
        <v>1742</v>
      </c>
      <c r="E65" s="34">
        <v>1766</v>
      </c>
      <c r="G65" s="40" t="s">
        <v>1741</v>
      </c>
      <c r="H65" s="26"/>
      <c r="I65" s="26"/>
      <c r="J65" s="26"/>
      <c r="K65" s="26"/>
      <c r="L65" s="26">
        <v>494</v>
      </c>
      <c r="M65" s="26">
        <v>119</v>
      </c>
    </row>
    <row r="66" spans="1:13">
      <c r="A66" s="40" t="s">
        <v>1743</v>
      </c>
      <c r="B66" s="51">
        <v>4</v>
      </c>
      <c r="D66" s="40" t="s">
        <v>1743</v>
      </c>
      <c r="E66" s="34">
        <v>853</v>
      </c>
      <c r="G66" s="40" t="s">
        <v>1742</v>
      </c>
      <c r="H66" s="26"/>
      <c r="I66" s="26">
        <v>1178</v>
      </c>
      <c r="J66" s="26">
        <v>217</v>
      </c>
      <c r="K66" s="26"/>
      <c r="L66" s="26"/>
      <c r="M66" s="26">
        <v>371</v>
      </c>
    </row>
    <row r="67" spans="1:13">
      <c r="A67" s="40" t="s">
        <v>1744</v>
      </c>
      <c r="B67" s="51">
        <v>4</v>
      </c>
      <c r="D67" s="40" t="s">
        <v>1744</v>
      </c>
      <c r="E67" s="34">
        <v>1299</v>
      </c>
      <c r="G67" s="40" t="s">
        <v>1743</v>
      </c>
      <c r="H67" s="26"/>
      <c r="I67" s="26">
        <v>77</v>
      </c>
      <c r="J67" s="26">
        <v>192</v>
      </c>
      <c r="K67" s="26">
        <v>584</v>
      </c>
      <c r="L67" s="26"/>
      <c r="M67" s="26"/>
    </row>
    <row r="68" spans="1:13">
      <c r="A68" s="40" t="s">
        <v>1745</v>
      </c>
      <c r="B68" s="51">
        <v>7</v>
      </c>
      <c r="D68" s="40" t="s">
        <v>1745</v>
      </c>
      <c r="E68" s="34">
        <v>916</v>
      </c>
      <c r="G68" s="40" t="s">
        <v>1744</v>
      </c>
      <c r="H68" s="26"/>
      <c r="I68" s="26">
        <v>528</v>
      </c>
      <c r="J68" s="26">
        <v>6</v>
      </c>
      <c r="K68" s="26"/>
      <c r="L68" s="26"/>
      <c r="M68" s="26">
        <v>765</v>
      </c>
    </row>
    <row r="69" spans="1:13">
      <c r="A69" s="40" t="s">
        <v>1746</v>
      </c>
      <c r="B69" s="51">
        <v>2</v>
      </c>
      <c r="D69" s="40" t="s">
        <v>1746</v>
      </c>
      <c r="E69" s="34">
        <v>148</v>
      </c>
      <c r="G69" s="40" t="s">
        <v>1745</v>
      </c>
      <c r="H69" s="26"/>
      <c r="I69" s="26">
        <v>117</v>
      </c>
      <c r="J69" s="26">
        <v>293</v>
      </c>
      <c r="K69" s="26">
        <v>473</v>
      </c>
      <c r="L69" s="26"/>
      <c r="M69" s="26">
        <v>33</v>
      </c>
    </row>
    <row r="70" spans="1:13">
      <c r="A70" s="40" t="s">
        <v>1747</v>
      </c>
      <c r="B70" s="51">
        <v>3</v>
      </c>
      <c r="D70" s="40" t="s">
        <v>1747</v>
      </c>
      <c r="E70" s="34">
        <v>279</v>
      </c>
      <c r="G70" s="40" t="s">
        <v>1746</v>
      </c>
      <c r="H70" s="26"/>
      <c r="I70" s="26"/>
      <c r="J70" s="26"/>
      <c r="K70" s="26">
        <v>141</v>
      </c>
      <c r="L70" s="26">
        <v>7</v>
      </c>
      <c r="M70" s="26"/>
    </row>
    <row r="71" spans="1:13">
      <c r="A71" s="40" t="s">
        <v>1748</v>
      </c>
      <c r="B71" s="51">
        <v>1</v>
      </c>
      <c r="D71" s="40" t="s">
        <v>1748</v>
      </c>
      <c r="E71" s="34">
        <v>563</v>
      </c>
      <c r="G71" s="40" t="s">
        <v>1747</v>
      </c>
      <c r="H71" s="26"/>
      <c r="I71" s="26"/>
      <c r="J71" s="26">
        <v>176</v>
      </c>
      <c r="K71" s="26">
        <v>103</v>
      </c>
      <c r="L71" s="26"/>
      <c r="M71" s="26"/>
    </row>
    <row r="72" spans="1:13">
      <c r="A72" s="40" t="s">
        <v>1749</v>
      </c>
      <c r="B72" s="51">
        <v>3</v>
      </c>
      <c r="D72" s="40" t="s">
        <v>1749</v>
      </c>
      <c r="E72" s="34">
        <v>901</v>
      </c>
      <c r="G72" s="40" t="s">
        <v>1748</v>
      </c>
      <c r="H72" s="26"/>
      <c r="I72" s="26"/>
      <c r="J72" s="26">
        <v>563</v>
      </c>
      <c r="K72" s="26"/>
      <c r="L72" s="26"/>
      <c r="M72" s="26"/>
    </row>
    <row r="73" spans="1:13">
      <c r="A73" s="40" t="s">
        <v>1750</v>
      </c>
      <c r="B73" s="51">
        <v>3</v>
      </c>
      <c r="D73" s="40" t="s">
        <v>1750</v>
      </c>
      <c r="E73" s="34">
        <v>1187</v>
      </c>
      <c r="G73" s="40" t="s">
        <v>1749</v>
      </c>
      <c r="H73" s="26"/>
      <c r="I73" s="26">
        <v>706</v>
      </c>
      <c r="J73" s="26"/>
      <c r="K73" s="26"/>
      <c r="L73" s="26"/>
      <c r="M73" s="26">
        <v>195</v>
      </c>
    </row>
    <row r="74" spans="1:13">
      <c r="A74" s="40" t="s">
        <v>1751</v>
      </c>
      <c r="B74" s="51">
        <v>7</v>
      </c>
      <c r="D74" s="40" t="s">
        <v>1751</v>
      </c>
      <c r="E74" s="34">
        <v>2473</v>
      </c>
      <c r="G74" s="40" t="s">
        <v>1750</v>
      </c>
      <c r="H74" s="26">
        <v>300</v>
      </c>
      <c r="I74" s="26">
        <v>887</v>
      </c>
      <c r="J74" s="26"/>
      <c r="K74" s="26"/>
      <c r="L74" s="26"/>
      <c r="M74" s="26"/>
    </row>
    <row r="75" spans="1:13">
      <c r="A75" s="40" t="s">
        <v>1752</v>
      </c>
      <c r="B75" s="51">
        <v>4</v>
      </c>
      <c r="D75" s="40" t="s">
        <v>1752</v>
      </c>
      <c r="E75" s="34">
        <v>542</v>
      </c>
      <c r="G75" s="40" t="s">
        <v>1751</v>
      </c>
      <c r="H75" s="26"/>
      <c r="I75" s="26">
        <v>1178</v>
      </c>
      <c r="J75" s="26"/>
      <c r="K75" s="26"/>
      <c r="L75" s="26">
        <v>419</v>
      </c>
      <c r="M75" s="26">
        <v>876</v>
      </c>
    </row>
    <row r="76" spans="1:13">
      <c r="A76" s="40" t="s">
        <v>1753</v>
      </c>
      <c r="B76" s="51">
        <v>4</v>
      </c>
      <c r="D76" s="40" t="s">
        <v>1753</v>
      </c>
      <c r="E76" s="34">
        <v>1906</v>
      </c>
      <c r="G76" s="40" t="s">
        <v>1752</v>
      </c>
      <c r="H76" s="26"/>
      <c r="I76" s="26"/>
      <c r="J76" s="26"/>
      <c r="K76" s="26">
        <v>460</v>
      </c>
      <c r="L76" s="26">
        <v>76</v>
      </c>
      <c r="M76" s="26">
        <v>6</v>
      </c>
    </row>
    <row r="77" spans="1:13">
      <c r="A77" s="40" t="s">
        <v>1754</v>
      </c>
      <c r="B77" s="51">
        <v>4</v>
      </c>
      <c r="D77" s="40" t="s">
        <v>1754</v>
      </c>
      <c r="E77" s="34">
        <v>796</v>
      </c>
      <c r="G77" s="40" t="s">
        <v>1753</v>
      </c>
      <c r="H77" s="26"/>
      <c r="I77" s="26">
        <v>427</v>
      </c>
      <c r="J77" s="26">
        <v>479</v>
      </c>
      <c r="K77" s="26">
        <v>886</v>
      </c>
      <c r="L77" s="26">
        <v>114</v>
      </c>
      <c r="M77" s="26"/>
    </row>
    <row r="78" spans="1:13">
      <c r="A78" s="40" t="s">
        <v>1765</v>
      </c>
      <c r="B78" s="51">
        <v>6</v>
      </c>
      <c r="D78" s="40" t="s">
        <v>1765</v>
      </c>
      <c r="E78" s="34">
        <v>1651</v>
      </c>
      <c r="G78" s="40" t="s">
        <v>1754</v>
      </c>
      <c r="H78" s="26"/>
      <c r="I78" s="26"/>
      <c r="J78" s="26">
        <v>463</v>
      </c>
      <c r="K78" s="26"/>
      <c r="L78" s="26"/>
      <c r="M78" s="26">
        <v>333</v>
      </c>
    </row>
    <row r="79" spans="1:13">
      <c r="A79" s="40" t="s">
        <v>1766</v>
      </c>
      <c r="B79" s="51">
        <v>4</v>
      </c>
      <c r="D79" s="40" t="s">
        <v>1766</v>
      </c>
      <c r="E79" s="34">
        <v>1205</v>
      </c>
      <c r="G79" s="40" t="s">
        <v>1765</v>
      </c>
      <c r="H79" s="26"/>
      <c r="I79" s="26">
        <v>598</v>
      </c>
      <c r="J79" s="26"/>
      <c r="K79" s="26">
        <v>459</v>
      </c>
      <c r="L79" s="26">
        <v>198</v>
      </c>
      <c r="M79" s="26">
        <v>396</v>
      </c>
    </row>
    <row r="80" spans="1:13">
      <c r="A80" s="40" t="s">
        <v>1767</v>
      </c>
      <c r="B80" s="51">
        <v>4</v>
      </c>
      <c r="D80" s="40" t="s">
        <v>1767</v>
      </c>
      <c r="E80" s="34">
        <v>1735</v>
      </c>
      <c r="G80" s="40" t="s">
        <v>1766</v>
      </c>
      <c r="H80" s="26">
        <v>160</v>
      </c>
      <c r="I80" s="26">
        <v>142</v>
      </c>
      <c r="J80" s="26"/>
      <c r="K80" s="26">
        <v>642</v>
      </c>
      <c r="L80" s="26"/>
      <c r="M80" s="26">
        <v>261</v>
      </c>
    </row>
    <row r="81" spans="1:13">
      <c r="A81" s="40" t="s">
        <v>1768</v>
      </c>
      <c r="B81" s="51">
        <v>2</v>
      </c>
      <c r="D81" s="40" t="s">
        <v>1768</v>
      </c>
      <c r="E81" s="34">
        <v>499</v>
      </c>
      <c r="G81" s="40" t="s">
        <v>1767</v>
      </c>
      <c r="H81" s="26"/>
      <c r="I81" s="26">
        <v>874</v>
      </c>
      <c r="J81" s="26"/>
      <c r="K81" s="26"/>
      <c r="L81" s="26">
        <v>389</v>
      </c>
      <c r="M81" s="26">
        <v>472</v>
      </c>
    </row>
    <row r="82" spans="1:13">
      <c r="A82" s="40" t="s">
        <v>1769</v>
      </c>
      <c r="B82" s="51">
        <v>9</v>
      </c>
      <c r="D82" s="40" t="s">
        <v>1769</v>
      </c>
      <c r="E82" s="34">
        <v>3166</v>
      </c>
      <c r="G82" s="40" t="s">
        <v>1768</v>
      </c>
      <c r="H82" s="26"/>
      <c r="I82" s="26">
        <v>465</v>
      </c>
      <c r="J82" s="26">
        <v>34</v>
      </c>
      <c r="K82" s="26"/>
      <c r="L82" s="26"/>
      <c r="M82" s="26"/>
    </row>
    <row r="83" spans="1:13">
      <c r="A83" s="40" t="s">
        <v>1770</v>
      </c>
      <c r="B83" s="51">
        <v>3</v>
      </c>
      <c r="D83" s="40" t="s">
        <v>1770</v>
      </c>
      <c r="E83" s="34">
        <v>1224</v>
      </c>
      <c r="G83" s="40" t="s">
        <v>1769</v>
      </c>
      <c r="H83" s="26"/>
      <c r="I83" s="26">
        <v>507</v>
      </c>
      <c r="J83" s="26">
        <v>381</v>
      </c>
      <c r="K83" s="26">
        <v>1449</v>
      </c>
      <c r="L83" s="26">
        <v>151</v>
      </c>
      <c r="M83" s="26">
        <v>678</v>
      </c>
    </row>
    <row r="84" spans="1:13">
      <c r="A84" s="40" t="s">
        <v>1771</v>
      </c>
      <c r="B84" s="51">
        <v>5</v>
      </c>
      <c r="D84" s="40" t="s">
        <v>1771</v>
      </c>
      <c r="E84" s="34">
        <v>1562</v>
      </c>
      <c r="G84" s="40" t="s">
        <v>1770</v>
      </c>
      <c r="H84" s="26"/>
      <c r="I84" s="26">
        <v>424</v>
      </c>
      <c r="J84" s="26">
        <v>290</v>
      </c>
      <c r="K84" s="26"/>
      <c r="L84" s="26"/>
      <c r="M84" s="26">
        <v>510</v>
      </c>
    </row>
    <row r="85" spans="1:13">
      <c r="A85" s="40" t="s">
        <v>1772</v>
      </c>
      <c r="B85" s="51">
        <v>4</v>
      </c>
      <c r="D85" s="40" t="s">
        <v>1772</v>
      </c>
      <c r="E85" s="34">
        <v>1813</v>
      </c>
      <c r="G85" s="40" t="s">
        <v>1771</v>
      </c>
      <c r="H85" s="26"/>
      <c r="I85" s="26">
        <v>573</v>
      </c>
      <c r="J85" s="26">
        <v>377</v>
      </c>
      <c r="K85" s="26">
        <v>458</v>
      </c>
      <c r="L85" s="26"/>
      <c r="M85" s="26">
        <v>154</v>
      </c>
    </row>
    <row r="86" spans="1:13">
      <c r="A86" s="40" t="s">
        <v>1773</v>
      </c>
      <c r="B86" s="51">
        <v>4</v>
      </c>
      <c r="D86" s="40" t="s">
        <v>1773</v>
      </c>
      <c r="E86" s="34">
        <v>1569</v>
      </c>
      <c r="G86" s="40" t="s">
        <v>1772</v>
      </c>
      <c r="H86" s="26"/>
      <c r="I86" s="26">
        <v>775</v>
      </c>
      <c r="J86" s="26">
        <v>245</v>
      </c>
      <c r="K86" s="26">
        <v>793</v>
      </c>
      <c r="L86" s="26"/>
      <c r="M86" s="26"/>
    </row>
    <row r="87" spans="1:13">
      <c r="A87" s="40" t="s">
        <v>1774</v>
      </c>
      <c r="B87" s="51">
        <v>3</v>
      </c>
      <c r="D87" s="40" t="s">
        <v>1774</v>
      </c>
      <c r="E87" s="34">
        <v>1461</v>
      </c>
      <c r="G87" s="40" t="s">
        <v>1773</v>
      </c>
      <c r="H87" s="26"/>
      <c r="I87" s="26"/>
      <c r="J87" s="26">
        <v>118</v>
      </c>
      <c r="K87" s="26">
        <v>729</v>
      </c>
      <c r="L87" s="26"/>
      <c r="M87" s="26">
        <v>722</v>
      </c>
    </row>
    <row r="88" spans="1:13">
      <c r="A88" s="40" t="s">
        <v>1775</v>
      </c>
      <c r="B88" s="51">
        <v>2</v>
      </c>
      <c r="D88" s="40" t="s">
        <v>1775</v>
      </c>
      <c r="E88" s="34">
        <v>671</v>
      </c>
      <c r="G88" s="40" t="s">
        <v>1774</v>
      </c>
      <c r="H88" s="26"/>
      <c r="I88" s="26"/>
      <c r="J88" s="26">
        <v>754</v>
      </c>
      <c r="K88" s="26"/>
      <c r="L88" s="26">
        <v>707</v>
      </c>
      <c r="M88" s="26"/>
    </row>
    <row r="89" spans="1:13">
      <c r="A89" s="40" t="s">
        <v>1776</v>
      </c>
      <c r="B89" s="51">
        <v>2</v>
      </c>
      <c r="D89" s="40" t="s">
        <v>1776</v>
      </c>
      <c r="E89" s="34">
        <v>295</v>
      </c>
      <c r="G89" s="40" t="s">
        <v>1775</v>
      </c>
      <c r="H89" s="26"/>
      <c r="I89" s="26">
        <v>671</v>
      </c>
      <c r="J89" s="26"/>
      <c r="K89" s="26"/>
      <c r="L89" s="26"/>
      <c r="M89" s="26"/>
    </row>
    <row r="90" spans="1:13">
      <c r="A90" s="40" t="s">
        <v>1777</v>
      </c>
      <c r="B90" s="51">
        <v>3</v>
      </c>
      <c r="D90" s="40" t="s">
        <v>1777</v>
      </c>
      <c r="E90" s="34">
        <v>682</v>
      </c>
      <c r="G90" s="40" t="s">
        <v>1776</v>
      </c>
      <c r="H90" s="26"/>
      <c r="I90" s="26"/>
      <c r="J90" s="26"/>
      <c r="K90" s="26">
        <v>229</v>
      </c>
      <c r="L90" s="26"/>
      <c r="M90" s="26">
        <v>66</v>
      </c>
    </row>
    <row r="91" spans="1:13">
      <c r="A91" s="40" t="s">
        <v>1778</v>
      </c>
      <c r="B91" s="51">
        <v>2</v>
      </c>
      <c r="D91" s="40" t="s">
        <v>1778</v>
      </c>
      <c r="E91" s="34">
        <v>412</v>
      </c>
      <c r="G91" s="40" t="s">
        <v>1777</v>
      </c>
      <c r="H91" s="26"/>
      <c r="I91" s="26"/>
      <c r="J91" s="26">
        <v>49</v>
      </c>
      <c r="K91" s="26">
        <v>633</v>
      </c>
      <c r="L91" s="26"/>
      <c r="M91" s="26"/>
    </row>
    <row r="92" spans="1:13">
      <c r="A92" s="40" t="s">
        <v>1779</v>
      </c>
      <c r="B92" s="51">
        <v>2</v>
      </c>
      <c r="D92" s="40" t="s">
        <v>1779</v>
      </c>
      <c r="E92" s="34">
        <v>408</v>
      </c>
      <c r="G92" s="40" t="s">
        <v>1778</v>
      </c>
      <c r="H92" s="26"/>
      <c r="I92" s="26"/>
      <c r="J92" s="26">
        <v>98</v>
      </c>
      <c r="K92" s="26"/>
      <c r="L92" s="26">
        <v>314</v>
      </c>
      <c r="M92" s="26"/>
    </row>
    <row r="93" spans="1:13">
      <c r="A93" s="40" t="s">
        <v>1780</v>
      </c>
      <c r="B93" s="51">
        <v>2</v>
      </c>
      <c r="D93" s="40" t="s">
        <v>1780</v>
      </c>
      <c r="E93" s="34">
        <v>1100</v>
      </c>
      <c r="G93" s="40" t="s">
        <v>1779</v>
      </c>
      <c r="H93" s="26">
        <v>392</v>
      </c>
      <c r="I93" s="26">
        <v>16</v>
      </c>
      <c r="J93" s="26"/>
      <c r="K93" s="26"/>
      <c r="L93" s="26"/>
      <c r="M93" s="26"/>
    </row>
    <row r="94" spans="1:13">
      <c r="A94" s="40" t="s">
        <v>1781</v>
      </c>
      <c r="B94" s="51">
        <v>1</v>
      </c>
      <c r="D94" s="40" t="s">
        <v>1781</v>
      </c>
      <c r="E94" s="34">
        <v>105</v>
      </c>
      <c r="G94" s="40" t="s">
        <v>1780</v>
      </c>
      <c r="H94" s="26"/>
      <c r="I94" s="26"/>
      <c r="J94" s="26">
        <v>729</v>
      </c>
      <c r="K94" s="26"/>
      <c r="L94" s="26">
        <v>371</v>
      </c>
      <c r="M94" s="26"/>
    </row>
    <row r="95" spans="1:13">
      <c r="A95" s="40" t="s">
        <v>1782</v>
      </c>
      <c r="B95" s="51">
        <v>4</v>
      </c>
      <c r="D95" s="40" t="s">
        <v>1782</v>
      </c>
      <c r="E95" s="34">
        <v>1902</v>
      </c>
      <c r="G95" s="40" t="s">
        <v>1781</v>
      </c>
      <c r="H95" s="26"/>
      <c r="I95" s="26"/>
      <c r="J95" s="26"/>
      <c r="K95" s="26">
        <v>105</v>
      </c>
      <c r="L95" s="26"/>
      <c r="M95" s="26"/>
    </row>
    <row r="96" spans="1:13">
      <c r="A96" s="40" t="s">
        <v>1783</v>
      </c>
      <c r="B96" s="51">
        <v>2</v>
      </c>
      <c r="D96" s="40" t="s">
        <v>1783</v>
      </c>
      <c r="E96" s="34">
        <v>515</v>
      </c>
      <c r="G96" s="40" t="s">
        <v>1782</v>
      </c>
      <c r="H96" s="26"/>
      <c r="I96" s="26"/>
      <c r="J96" s="26">
        <v>1593</v>
      </c>
      <c r="K96" s="26"/>
      <c r="L96" s="26"/>
      <c r="M96" s="26">
        <v>309</v>
      </c>
    </row>
    <row r="97" spans="1:13">
      <c r="A97" s="40" t="s">
        <v>1784</v>
      </c>
      <c r="B97" s="51">
        <v>4</v>
      </c>
      <c r="D97" s="40" t="s">
        <v>1784</v>
      </c>
      <c r="E97" s="34">
        <v>537</v>
      </c>
      <c r="G97" s="40" t="s">
        <v>1783</v>
      </c>
      <c r="H97" s="26"/>
      <c r="I97" s="26">
        <v>164</v>
      </c>
      <c r="J97" s="26"/>
      <c r="K97" s="26">
        <v>351</v>
      </c>
      <c r="L97" s="26"/>
      <c r="M97" s="26"/>
    </row>
    <row r="98" spans="1:13">
      <c r="A98" s="40" t="s">
        <v>1785</v>
      </c>
      <c r="B98" s="51">
        <v>3</v>
      </c>
      <c r="D98" s="40" t="s">
        <v>1785</v>
      </c>
      <c r="E98" s="34">
        <v>521</v>
      </c>
      <c r="G98" s="40" t="s">
        <v>1784</v>
      </c>
      <c r="H98" s="26"/>
      <c r="I98" s="26"/>
      <c r="J98" s="26">
        <v>329</v>
      </c>
      <c r="K98" s="26">
        <v>208</v>
      </c>
      <c r="L98" s="26"/>
      <c r="M98" s="26"/>
    </row>
    <row r="99" spans="1:13">
      <c r="A99" s="40" t="s">
        <v>1786</v>
      </c>
      <c r="B99" s="51">
        <v>5</v>
      </c>
      <c r="D99" s="40" t="s">
        <v>1786</v>
      </c>
      <c r="E99" s="34">
        <v>1472</v>
      </c>
      <c r="G99" s="40" t="s">
        <v>1785</v>
      </c>
      <c r="H99" s="26">
        <v>154</v>
      </c>
      <c r="I99" s="26"/>
      <c r="J99" s="26"/>
      <c r="K99" s="26">
        <v>15</v>
      </c>
      <c r="L99" s="26"/>
      <c r="M99" s="26">
        <v>352</v>
      </c>
    </row>
    <row r="100" spans="1:13">
      <c r="A100" s="40" t="s">
        <v>1787</v>
      </c>
      <c r="B100" s="51">
        <v>5</v>
      </c>
      <c r="D100" s="40" t="s">
        <v>1787</v>
      </c>
      <c r="E100" s="34">
        <v>793</v>
      </c>
      <c r="G100" s="40" t="s">
        <v>1786</v>
      </c>
      <c r="H100" s="26"/>
      <c r="I100" s="26">
        <v>402</v>
      </c>
      <c r="J100" s="26">
        <v>453</v>
      </c>
      <c r="K100" s="26"/>
      <c r="L100" s="26"/>
      <c r="M100" s="26">
        <v>617</v>
      </c>
    </row>
    <row r="101" spans="1:13">
      <c r="A101"/>
      <c r="B101"/>
      <c r="D101"/>
      <c r="E101"/>
      <c r="G101" s="40" t="s">
        <v>1787</v>
      </c>
      <c r="H101" s="26">
        <v>82</v>
      </c>
      <c r="I101" s="26"/>
      <c r="J101" s="26">
        <v>14</v>
      </c>
      <c r="K101" s="26">
        <v>497</v>
      </c>
      <c r="L101" s="26">
        <v>6</v>
      </c>
      <c r="M101" s="26">
        <v>194</v>
      </c>
    </row>
    <row r="102" spans="1:13">
      <c r="A102"/>
      <c r="B102"/>
      <c r="D102"/>
      <c r="E102"/>
      <c r="G102"/>
      <c r="H102"/>
      <c r="I102"/>
      <c r="J102"/>
      <c r="K102"/>
      <c r="L102"/>
      <c r="M102"/>
    </row>
    <row r="103" spans="1:13">
      <c r="A103"/>
      <c r="B103"/>
      <c r="D103"/>
      <c r="E103"/>
      <c r="G103"/>
      <c r="H103"/>
      <c r="I103"/>
      <c r="J103"/>
      <c r="K103"/>
      <c r="L103"/>
      <c r="M103"/>
    </row>
    <row r="104" spans="1:13">
      <c r="G104"/>
      <c r="H104"/>
      <c r="I104"/>
      <c r="J104"/>
      <c r="K104"/>
      <c r="L104"/>
      <c r="M104"/>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B64"/>
  <sheetViews>
    <sheetView showGridLines="0" showRowColHeaders="0" zoomScale="72" zoomScaleNormal="72" workbookViewId="0">
      <selection activeCell="AH40" sqref="AH40"/>
      <extLst>
        <ext xmlns:xlsdti="http://schemas.microsoft.com/office/spreadsheetml/2023/showDataTypeIcons" uri="{77bfe23e-c014-4d31-8a63-9c772dbf06b6}">
          <xlsdti:showDataTypeIcons visible="0"/>
        </ext>
      </extLst>
    </sheetView>
  </sheetViews>
  <sheetFormatPr defaultColWidth="8.7265625" defaultRowHeight="14.4"/>
  <cols>
    <col min="1" max="1" width="13" style="11" customWidth="1"/>
    <col min="2" max="16384" width="8.7265625" style="11"/>
  </cols>
  <sheetData>
    <row r="1" spans="1:28" ht="13.8" customHeight="1">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50"/>
    </row>
    <row r="2" spans="1:28" ht="13.8" customHeight="1">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50"/>
    </row>
    <row r="3" spans="1:28" ht="13.8" customHeight="1">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50"/>
    </row>
    <row r="4" spans="1:28" ht="13.8" customHeight="1">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50"/>
    </row>
    <row r="5" spans="1:28" ht="13.8" customHeight="1">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50"/>
    </row>
    <row r="6" spans="1:28" s="48" customFormat="1" ht="21.6" customHeight="1">
      <c r="A6" s="8"/>
      <c r="B6" s="8"/>
      <c r="C6" s="8"/>
      <c r="D6" s="8"/>
      <c r="E6" s="8"/>
      <c r="F6" s="8"/>
      <c r="G6" s="8"/>
      <c r="H6" s="8"/>
      <c r="I6" s="8"/>
      <c r="J6" s="8"/>
      <c r="K6" s="8"/>
      <c r="L6" s="8"/>
      <c r="M6" s="8"/>
      <c r="N6" s="8"/>
      <c r="O6" s="8"/>
      <c r="P6" s="8"/>
      <c r="Q6" s="8"/>
      <c r="R6" s="8"/>
      <c r="S6" s="8"/>
      <c r="T6" s="8"/>
      <c r="U6" s="8"/>
      <c r="V6" s="8"/>
      <c r="W6" s="8"/>
      <c r="X6" s="8"/>
      <c r="Y6" s="8"/>
      <c r="Z6" s="8"/>
      <c r="AA6" s="8"/>
    </row>
    <row r="7" spans="1:28">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48"/>
    </row>
    <row r="8" spans="1:28">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48"/>
    </row>
    <row r="9" spans="1:28">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48"/>
    </row>
    <row r="10" spans="1:28">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48"/>
    </row>
    <row r="11" spans="1:28">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48"/>
    </row>
    <row r="12" spans="1:28">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48"/>
    </row>
    <row r="13" spans="1:28">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48"/>
    </row>
    <row r="14" spans="1:28">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48"/>
    </row>
    <row r="15" spans="1:28">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48"/>
    </row>
    <row r="16" spans="1:28">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48"/>
    </row>
    <row r="17" spans="1:28">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48"/>
    </row>
    <row r="18" spans="1:2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48"/>
    </row>
    <row r="19" spans="1:28">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48"/>
    </row>
    <row r="20" spans="1:28">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48"/>
    </row>
    <row r="21" spans="1:28">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48"/>
    </row>
    <row r="22" spans="1:28">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48"/>
    </row>
    <row r="23" spans="1:28">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48"/>
    </row>
    <row r="24" spans="1:28">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48"/>
    </row>
    <row r="25" spans="1:28">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48"/>
    </row>
    <row r="26" spans="1:28">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48"/>
    </row>
    <row r="27" spans="1:28">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48"/>
    </row>
    <row r="28" spans="1: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48"/>
    </row>
    <row r="29" spans="1:28">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48"/>
    </row>
    <row r="30" spans="1:28">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48"/>
    </row>
    <row r="31" spans="1:28">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48"/>
    </row>
    <row r="32" spans="1:28">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48"/>
    </row>
    <row r="33" spans="1:28">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48"/>
    </row>
    <row r="34" spans="1:28">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48"/>
    </row>
    <row r="35" spans="1:28">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48"/>
    </row>
    <row r="36" spans="1:28">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48"/>
    </row>
    <row r="37" spans="1:28">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48"/>
    </row>
    <row r="38" spans="1:2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48"/>
    </row>
    <row r="39" spans="1:28">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48"/>
    </row>
    <row r="40" spans="1:28">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48"/>
    </row>
    <row r="41" spans="1:28">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48"/>
    </row>
    <row r="42" spans="1:28">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48"/>
    </row>
    <row r="43" spans="1:28">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48"/>
    </row>
    <row r="44" spans="1:28">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48"/>
    </row>
    <row r="45" spans="1:28">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48"/>
    </row>
    <row r="46" spans="1:28">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48"/>
    </row>
    <row r="47" spans="1:28">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48"/>
    </row>
    <row r="48" spans="1:2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48"/>
    </row>
    <row r="49" spans="1:28">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48"/>
    </row>
    <row r="50" spans="1:28">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48"/>
    </row>
    <row r="51" spans="1:28">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48"/>
    </row>
    <row r="52" spans="1:28">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48"/>
    </row>
    <row r="53" spans="1:28">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48"/>
    </row>
    <row r="54" spans="1:28">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48"/>
    </row>
    <row r="55" spans="1:28">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48"/>
    </row>
    <row r="56" spans="1:28">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48"/>
    </row>
    <row r="57" spans="1:28">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48"/>
    </row>
    <row r="58" spans="1:2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48"/>
    </row>
    <row r="59" spans="1:28">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48"/>
    </row>
    <row r="60" spans="1:28">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48"/>
    </row>
    <row r="61" spans="1:28">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48"/>
    </row>
    <row r="62" spans="1:28">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48"/>
    </row>
    <row r="63" spans="1:28">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48"/>
    </row>
    <row r="64" spans="1:28">
      <c r="AB64" s="48"/>
    </row>
  </sheetData>
  <pageMargins left="0.25" right="0.25" top="0.75" bottom="0.75" header="0.3" footer="0.3"/>
  <pageSetup scale="4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F1065C3-D329-4198-AEE0-F4726993FA3E}">
  <ds:schemaRefs/>
</ds:datastoreItem>
</file>

<file path=customXml/itemProps2.xml><?xml version="1.0" encoding="utf-8"?>
<ds:datastoreItem xmlns:ds="http://schemas.openxmlformats.org/officeDocument/2006/customXml" ds:itemID="{A1007EA6-ED92-4ECA-ACEB-9734361FB62B}">
  <ds:schemaRefs/>
</ds:datastoreItem>
</file>

<file path=customXml/itemProps3.xml><?xml version="1.0" encoding="utf-8"?>
<ds:datastoreItem xmlns:ds="http://schemas.openxmlformats.org/officeDocument/2006/customXml" ds:itemID="{DE7F0513-7D29-45D1-8141-CE2134C50884}">
  <ds:schemaRefs/>
</ds:datastoreItem>
</file>

<file path=customXml/itemProps4.xml><?xml version="1.0" encoding="utf-8"?>
<ds:datastoreItem xmlns:ds="http://schemas.openxmlformats.org/officeDocument/2006/customXml" ds:itemID="{DC62AE86-731E-4AA4-B89A-EE55126DF6F5}">
  <ds:schemaRefs/>
</ds:datastoreItem>
</file>

<file path=customXml/itemProps5.xml><?xml version="1.0" encoding="utf-8"?>
<ds:datastoreItem xmlns:ds="http://schemas.openxmlformats.org/officeDocument/2006/customXml" ds:itemID="{555080A5-EE43-4CD2-BFBD-34DCE655B488}">
  <ds:schemaRefs/>
</ds:datastoreItem>
</file>

<file path=customXml/itemProps6.xml><?xml version="1.0" encoding="utf-8"?>
<ds:datastoreItem xmlns:ds="http://schemas.openxmlformats.org/officeDocument/2006/customXml" ds:itemID="{AC500CC4-053B-414E-B558-4E97050A717A}">
  <ds:schemaRefs/>
</ds:datastoreItem>
</file>

<file path=customXml/itemProps7.xml><?xml version="1.0" encoding="utf-8"?>
<ds:datastoreItem xmlns:ds="http://schemas.openxmlformats.org/officeDocument/2006/customXml" ds:itemID="{CE71CAAA-9A6A-48E5-9BC4-2599E09394C8}">
  <ds:schemaRefs/>
</ds:datastoreItem>
</file>

<file path=customXml/itemProps8.xml><?xml version="1.0" encoding="utf-8"?>
<ds:datastoreItem xmlns:ds="http://schemas.openxmlformats.org/officeDocument/2006/customXml" ds:itemID="{84A5B39F-C7EB-4114-B274-76981C642B3D}">
  <ds:schemaRefs/>
</ds:datastoreItem>
</file>

<file path=customXml/itemProps9.xml><?xml version="1.0" encoding="utf-8"?>
<ds:datastoreItem xmlns:ds="http://schemas.openxmlformats.org/officeDocument/2006/customXml" ds:itemID="{17FF6E2B-8C85-48F6-B1DB-0CC3E17AEBB2}">
  <ds:schemaRefs/>
</ds:datastoreItem>
</file>

<file path=customXml/itemProps10.xml><?xml version="1.0" encoding="utf-8"?>
<ds:datastoreItem xmlns:ds="http://schemas.openxmlformats.org/officeDocument/2006/customXml" ds:itemID="{F8827984-2C90-44C2-9BD2-A987B8F0BBD6}">
  <ds:schemaRefs/>
</ds:datastoreItem>
</file>

<file path=customXml/itemProps11.xml><?xml version="1.0" encoding="utf-8"?>
<ds:datastoreItem xmlns:ds="http://schemas.openxmlformats.org/officeDocument/2006/customXml" ds:itemID="{CAB2A319-87FC-45F5-BFAF-B9F6B5364B1B}">
  <ds:schemaRefs/>
</ds:datastoreItem>
</file>

<file path=customXml/itemProps12.xml><?xml version="1.0" encoding="utf-8"?>
<ds:datastoreItem xmlns:ds="http://schemas.openxmlformats.org/officeDocument/2006/customXml" ds:itemID="{450569E6-BC47-4C4F-B992-BEA2E4F298B3}">
  <ds:schemaRefs/>
</ds:datastoreItem>
</file>

<file path=customXml/itemProps13.xml><?xml version="1.0" encoding="utf-8"?>
<ds:datastoreItem xmlns:ds="http://schemas.openxmlformats.org/officeDocument/2006/customXml" ds:itemID="{9613485B-510A-4B45-823D-B5CFEB3726F3}">
  <ds:schemaRefs/>
</ds:datastoreItem>
</file>

<file path=customXml/itemProps14.xml><?xml version="1.0" encoding="utf-8"?>
<ds:datastoreItem xmlns:ds="http://schemas.openxmlformats.org/officeDocument/2006/customXml" ds:itemID="{52A626E1-092D-49D2-B99B-07312562C7E0}">
  <ds:schemaRefs/>
</ds:datastoreItem>
</file>

<file path=customXml/itemProps15.xml><?xml version="1.0" encoding="utf-8"?>
<ds:datastoreItem xmlns:ds="http://schemas.openxmlformats.org/officeDocument/2006/customXml" ds:itemID="{AAB46EEA-D3B7-467E-9F63-9A6844E28FC2}">
  <ds:schemaRefs/>
</ds:datastoreItem>
</file>

<file path=customXml/itemProps16.xml><?xml version="1.0" encoding="utf-8"?>
<ds:datastoreItem xmlns:ds="http://schemas.openxmlformats.org/officeDocument/2006/customXml" ds:itemID="{87956FB9-63A1-4D1F-B520-80CD05AC35AD}">
  <ds:schemaRefs/>
</ds:datastoreItem>
</file>

<file path=customXml/itemProps17.xml><?xml version="1.0" encoding="utf-8"?>
<ds:datastoreItem xmlns:ds="http://schemas.openxmlformats.org/officeDocument/2006/customXml" ds:itemID="{31D1DDF0-7855-49CA-9F1A-BB8C23485C39}">
  <ds:schemaRefs/>
</ds:datastoreItem>
</file>

<file path=customXml/itemProps18.xml><?xml version="1.0" encoding="utf-8"?>
<ds:datastoreItem xmlns:ds="http://schemas.openxmlformats.org/officeDocument/2006/customXml" ds:itemID="{F08307B3-885A-429F-9C56-A25D8E2BA76A}">
  <ds:schemaRefs/>
</ds:datastoreItem>
</file>

<file path=customXml/itemProps19.xml><?xml version="1.0" encoding="utf-8"?>
<ds:datastoreItem xmlns:ds="http://schemas.openxmlformats.org/officeDocument/2006/customXml" ds:itemID="{1A72773C-FAB6-4D90-A714-70EFD06CD5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Service</vt:lpstr>
      <vt:lpstr>Finance</vt:lpstr>
      <vt:lpstr>Orders Data</vt:lpstr>
      <vt:lpstr>Dashboard Business Questions</vt:lpstr>
      <vt:lpstr>Orders Pivot Sheet</vt:lpstr>
      <vt:lpstr>Orders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Saswat Seth</cp:lastModifiedBy>
  <cp:lastPrinted>2026-09-17T10:51:34Z</cp:lastPrinted>
  <dcterms:created xsi:type="dcterms:W3CDTF">2022-06-24T09:46:00Z</dcterms:created>
  <dcterms:modified xsi:type="dcterms:W3CDTF">2026-09-17T11:41:53Z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2057-12.2.0.21936</vt:lpwstr>
  </property>
</Properties>
</file>